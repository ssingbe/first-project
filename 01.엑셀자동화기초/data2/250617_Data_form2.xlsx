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ython_study\01.엑셀자동화기초\data2\"/>
    </mc:Choice>
  </mc:AlternateContent>
  <bookViews>
    <workbookView xWindow="0" yWindow="0" windowWidth="18768" windowHeight="8820" activeTab="2"/>
  </bookViews>
  <sheets>
    <sheet name="Sheet1" sheetId="5" r:id="rId1"/>
    <sheet name="Sheet2" sheetId="6" r:id="rId2"/>
    <sheet name="Sheet3" sheetId="8" r:id="rId3"/>
  </sheets>
  <definedNames>
    <definedName name="_xlcn.WorksheetConnection_Sheet1B3AI1081" hidden="1">Sheet1!$A$1:$AG$104</definedName>
    <definedName name="_xlcn.WorksheetConnection_Sheet3Y1Y211" hidden="1">Sheet3!$Y$1:$Y$21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범위-c22e7cf7-e8df-402a-92f6-f799e1b1ad5e" name="범위" connection="WorksheetConnection_Sheet1!$B$3:$AI$108"/>
          <x15:modelTable id="범위1-45c7c217-5f79-496a-ac19-9ad830596964" name="범위1" connection="WorksheetConnection_Sheet3!$Y$1:$Y$21"/>
        </x15:modelTables>
      </x15:dataModel>
    </ext>
  </extLst>
</workbook>
</file>

<file path=xl/calcChain.xml><?xml version="1.0" encoding="utf-8"?>
<calcChain xmlns="http://schemas.openxmlformats.org/spreadsheetml/2006/main">
  <c r="AI71" i="8" l="1"/>
  <c r="M12" i="8" l="1"/>
  <c r="AT12" i="8"/>
  <c r="AV12" i="8"/>
  <c r="M21" i="8" l="1"/>
  <c r="M20" i="8"/>
  <c r="M19" i="8"/>
  <c r="M18" i="8"/>
  <c r="M17" i="8"/>
  <c r="M16" i="8"/>
  <c r="M15" i="8"/>
  <c r="M14" i="8"/>
  <c r="M13" i="8"/>
  <c r="M11" i="8"/>
  <c r="M10" i="8"/>
  <c r="M9" i="8"/>
  <c r="M8" i="8"/>
  <c r="M7" i="8"/>
  <c r="M6" i="8"/>
  <c r="M5" i="8"/>
  <c r="M4" i="8"/>
  <c r="M3" i="8"/>
  <c r="M2" i="8"/>
  <c r="AV21" i="8" l="1"/>
  <c r="AT21" i="8"/>
  <c r="AV20" i="8"/>
  <c r="AT20" i="8"/>
  <c r="AV19" i="8"/>
  <c r="AT19" i="8"/>
  <c r="AV18" i="8"/>
  <c r="AT18" i="8"/>
  <c r="AV17" i="8"/>
  <c r="AT17" i="8"/>
  <c r="AV16" i="8"/>
  <c r="AT16" i="8"/>
  <c r="AV15" i="8"/>
  <c r="AT15" i="8"/>
  <c r="AV14" i="8"/>
  <c r="AT14" i="8"/>
  <c r="AV13" i="8"/>
  <c r="AT13" i="8"/>
  <c r="AV11" i="8"/>
  <c r="AT11" i="8"/>
  <c r="AV10" i="8"/>
  <c r="AT10" i="8"/>
  <c r="AV9" i="8"/>
  <c r="AT9" i="8"/>
  <c r="AV8" i="8"/>
  <c r="AT8" i="8"/>
  <c r="AV7" i="8"/>
  <c r="AT7" i="8"/>
  <c r="AV6" i="8"/>
  <c r="AT6" i="8"/>
  <c r="AV5" i="8"/>
  <c r="AT5" i="8"/>
  <c r="AV4" i="8"/>
  <c r="AT4" i="8"/>
  <c r="AV3" i="8"/>
  <c r="AT3" i="8"/>
  <c r="AV2" i="8"/>
  <c r="AT2" i="8"/>
  <c r="AB20" i="6" l="1"/>
  <c r="AB21" i="6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" i="6"/>
  <c r="AD21" i="6"/>
  <c r="AD20" i="6"/>
  <c r="AD19" i="6"/>
  <c r="AD18" i="6"/>
  <c r="AD17" i="6"/>
  <c r="AD16" i="6"/>
  <c r="AD15" i="6"/>
  <c r="AD14" i="6"/>
  <c r="AD13" i="6"/>
  <c r="AD12" i="6"/>
  <c r="AD11" i="6"/>
  <c r="AD10" i="6"/>
  <c r="AD9" i="6"/>
  <c r="AD8" i="6"/>
  <c r="AD7" i="6"/>
  <c r="AD6" i="6"/>
  <c r="AD5" i="6"/>
  <c r="AD4" i="6"/>
  <c r="AD3" i="6"/>
  <c r="AD2" i="6"/>
  <c r="AJ3" i="5" l="1"/>
  <c r="AJ4" i="5"/>
  <c r="AJ5" i="5"/>
  <c r="AJ6" i="5"/>
  <c r="AJ7" i="5"/>
  <c r="AJ8" i="5"/>
  <c r="AJ9" i="5"/>
  <c r="AJ10" i="5"/>
  <c r="AJ11" i="5"/>
  <c r="AJ12" i="5"/>
  <c r="AJ13" i="5"/>
  <c r="AJ14" i="5"/>
  <c r="AJ15" i="5"/>
  <c r="AJ16" i="5"/>
  <c r="AJ17" i="5"/>
  <c r="AJ18" i="5"/>
  <c r="AJ19" i="5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AJ34" i="5"/>
  <c r="AJ35" i="5"/>
  <c r="AJ36" i="5"/>
  <c r="AJ37" i="5"/>
  <c r="AJ38" i="5"/>
  <c r="AJ39" i="5"/>
  <c r="AJ40" i="5"/>
  <c r="AJ41" i="5"/>
  <c r="AJ42" i="5"/>
  <c r="AJ43" i="5"/>
  <c r="AJ44" i="5"/>
  <c r="AJ45" i="5"/>
  <c r="AJ46" i="5"/>
  <c r="AJ47" i="5"/>
  <c r="AJ48" i="5"/>
  <c r="AJ49" i="5"/>
  <c r="AJ50" i="5"/>
  <c r="AJ51" i="5"/>
  <c r="AJ52" i="5"/>
  <c r="AJ53" i="5"/>
  <c r="AJ54" i="5"/>
  <c r="AJ55" i="5"/>
  <c r="AJ56" i="5"/>
  <c r="AJ57" i="5"/>
  <c r="AJ58" i="5"/>
  <c r="AJ59" i="5"/>
  <c r="AJ60" i="5"/>
  <c r="AJ61" i="5"/>
  <c r="AJ62" i="5"/>
  <c r="AJ63" i="5"/>
  <c r="AJ64" i="5"/>
  <c r="AJ65" i="5"/>
  <c r="AJ66" i="5"/>
  <c r="AJ67" i="5"/>
  <c r="AJ68" i="5"/>
  <c r="AJ69" i="5"/>
  <c r="AJ70" i="5"/>
  <c r="AJ71" i="5"/>
  <c r="AJ72" i="5"/>
  <c r="AJ73" i="5"/>
  <c r="AJ74" i="5"/>
  <c r="AJ75" i="5"/>
  <c r="AJ76" i="5"/>
  <c r="AJ77" i="5"/>
  <c r="AJ78" i="5"/>
  <c r="AJ79" i="5"/>
  <c r="AJ80" i="5"/>
  <c r="AJ81" i="5"/>
  <c r="AJ82" i="5"/>
  <c r="AJ83" i="5"/>
  <c r="AJ84" i="5"/>
  <c r="AJ85" i="5"/>
  <c r="AJ86" i="5"/>
  <c r="AJ87" i="5"/>
  <c r="AJ88" i="5"/>
  <c r="AJ89" i="5"/>
  <c r="AJ90" i="5"/>
  <c r="AJ91" i="5"/>
  <c r="AJ92" i="5"/>
  <c r="AJ93" i="5"/>
  <c r="AJ94" i="5"/>
  <c r="AJ95" i="5"/>
  <c r="AJ96" i="5"/>
  <c r="AJ97" i="5"/>
  <c r="AJ98" i="5"/>
  <c r="AJ99" i="5"/>
  <c r="AJ100" i="5"/>
  <c r="AJ101" i="5"/>
  <c r="AJ102" i="5"/>
  <c r="AJ103" i="5"/>
  <c r="AJ104" i="5"/>
  <c r="AJ2" i="5"/>
  <c r="AH104" i="5" l="1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H44" i="5"/>
  <c r="AH43" i="5"/>
  <c r="AH42" i="5"/>
  <c r="AH41" i="5"/>
  <c r="AH40" i="5"/>
  <c r="AH39" i="5"/>
  <c r="AH38" i="5"/>
  <c r="AH37" i="5"/>
  <c r="AH36" i="5"/>
  <c r="AH35" i="5"/>
  <c r="AH34" i="5"/>
  <c r="AH33" i="5"/>
  <c r="AH32" i="5"/>
  <c r="AH31" i="5"/>
  <c r="AH27" i="5"/>
  <c r="AH26" i="5"/>
  <c r="AH25" i="5"/>
  <c r="AH24" i="5"/>
  <c r="AH23" i="5"/>
  <c r="AH22" i="5"/>
  <c r="AH21" i="5"/>
  <c r="AH20" i="5"/>
  <c r="AH19" i="5"/>
  <c r="AH18" i="5"/>
  <c r="AH17" i="5"/>
  <c r="AH16" i="5"/>
  <c r="AH15" i="5"/>
  <c r="AH14" i="5"/>
  <c r="AH13" i="5"/>
  <c r="AH12" i="5"/>
  <c r="AH11" i="5"/>
  <c r="AH10" i="5"/>
  <c r="AH9" i="5"/>
  <c r="AH8" i="5"/>
  <c r="AH7" i="5"/>
  <c r="AH6" i="5"/>
  <c r="AH5" i="5"/>
  <c r="AH4" i="5"/>
  <c r="AH3" i="5"/>
  <c r="AH2" i="5"/>
</calcChain>
</file>

<file path=xl/comments1.xml><?xml version="1.0" encoding="utf-8"?>
<comments xmlns="http://schemas.openxmlformats.org/spreadsheetml/2006/main">
  <authors>
    <author>DTE24089</author>
  </authors>
  <commentList>
    <comment ref="V73" authorId="0" shapeId="0">
      <text>
        <r>
          <rPr>
            <b/>
            <sz val="9"/>
            <color indexed="81"/>
            <rFont val="돋움"/>
            <family val="3"/>
            <charset val="129"/>
          </rPr>
          <t>ㅇㅇ</t>
        </r>
      </text>
    </comment>
    <comment ref="AB73" authorId="0" shapeId="0">
      <text>
        <r>
          <rPr>
            <b/>
            <sz val="9"/>
            <color indexed="81"/>
            <rFont val="돋움"/>
            <family val="3"/>
            <charset val="129"/>
          </rPr>
          <t>ㅇㅇ</t>
        </r>
      </text>
    </comment>
    <comment ref="K74" authorId="0" shapeId="0">
      <text>
        <r>
          <rPr>
            <b/>
            <sz val="9"/>
            <color indexed="81"/>
            <rFont val="돋움"/>
            <family val="3"/>
            <charset val="129"/>
          </rPr>
          <t>가열대기</t>
        </r>
        <r>
          <rPr>
            <b/>
            <sz val="9"/>
            <color indexed="81"/>
            <rFont val="Tahoma"/>
            <family val="2"/>
          </rPr>
          <t>??</t>
        </r>
      </text>
    </comment>
    <comment ref="K90" authorId="0" shapeId="0">
      <text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
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중간재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재작업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느낌</t>
        </r>
      </text>
    </comment>
  </commentList>
</comments>
</file>

<file path=xl/comments2.xml><?xml version="1.0" encoding="utf-8"?>
<comments xmlns="http://schemas.openxmlformats.org/spreadsheetml/2006/main">
  <authors>
    <author>DTE24089</author>
  </authors>
  <commentList>
    <comment ref="K21" authorId="0" shapeId="0">
      <text>
        <r>
          <rPr>
            <b/>
            <sz val="9"/>
            <color indexed="81"/>
            <rFont val="돋움"/>
            <family val="3"/>
            <charset val="129"/>
          </rPr>
          <t>가열대기</t>
        </r>
        <r>
          <rPr>
            <b/>
            <sz val="9"/>
            <color indexed="81"/>
            <rFont val="Tahoma"/>
            <family val="2"/>
          </rPr>
          <t>??</t>
        </r>
      </text>
    </comment>
  </commentList>
</comments>
</file>

<file path=xl/comments3.xml><?xml version="1.0" encoding="utf-8"?>
<comments xmlns="http://schemas.openxmlformats.org/spreadsheetml/2006/main">
  <authors>
    <author>DTE24089</author>
  </authors>
  <commentList>
    <comment ref="K21" authorId="0" shapeId="0">
      <text>
        <r>
          <rPr>
            <b/>
            <sz val="9"/>
            <color indexed="81"/>
            <rFont val="돋움"/>
            <family val="3"/>
            <charset val="129"/>
          </rPr>
          <t>가열대기</t>
        </r>
        <r>
          <rPr>
            <b/>
            <sz val="9"/>
            <color indexed="81"/>
            <rFont val="Tahoma"/>
            <family val="2"/>
          </rPr>
          <t>??</t>
        </r>
      </text>
    </comment>
  </commentList>
</comments>
</file>

<file path=xl/connections.xml><?xml version="1.0" encoding="utf-8"?>
<connections xmlns="http://schemas.openxmlformats.org/spreadsheetml/2006/main">
  <connection id="1" keepAlive="1" name="ThisWorkbookDataModel" description="데이터 모델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heet1!$B$3:$AI$108" type="102" refreshedVersion="5" minRefreshableVersion="5">
    <extLst>
      <ext xmlns:x15="http://schemas.microsoft.com/office/spreadsheetml/2010/11/main" uri="{DE250136-89BD-433C-8126-D09CA5730AF9}">
        <x15:connection id="범위-c22e7cf7-e8df-402a-92f6-f799e1b1ad5e" autoDelete="1" usedByAddin="1">
          <x15:rangePr sourceName="_xlcn.WorksheetConnection_Sheet1B3AI1081"/>
        </x15:connection>
      </ext>
    </extLst>
  </connection>
  <connection id="3" name="WorksheetConnection_Sheet3!$Y$1:$Y$21" type="102" refreshedVersion="5" minRefreshableVersion="5">
    <extLst>
      <ext xmlns:x15="http://schemas.microsoft.com/office/spreadsheetml/2010/11/main" uri="{DE250136-89BD-433C-8126-D09CA5730AF9}">
        <x15:connection id="범위1-45c7c217-5f79-496a-ac19-9ad830596964" autoDelete="1" usedByAddin="1">
          <x15:rangePr sourceName="_xlcn.WorksheetConnection_Sheet3Y1Y211"/>
        </x15:connection>
      </ext>
    </extLst>
  </connection>
</connections>
</file>

<file path=xl/sharedStrings.xml><?xml version="1.0" encoding="utf-8"?>
<sst xmlns="http://schemas.openxmlformats.org/spreadsheetml/2006/main" count="1562" uniqueCount="349">
  <si>
    <t>구분</t>
    <phoneticPr fontId="2" type="noConversion"/>
  </si>
  <si>
    <t>기준일자</t>
    <phoneticPr fontId="2" type="noConversion"/>
  </si>
  <si>
    <t>Lot_no</t>
    <phoneticPr fontId="2" type="noConversion"/>
  </si>
  <si>
    <t>일련번호</t>
    <phoneticPr fontId="2" type="noConversion"/>
  </si>
  <si>
    <t>Heat_no</t>
    <phoneticPr fontId="2" type="noConversion"/>
  </si>
  <si>
    <t>생산외경</t>
    <phoneticPr fontId="2" type="noConversion"/>
  </si>
  <si>
    <t>시작시간</t>
    <phoneticPr fontId="2" type="noConversion"/>
  </si>
  <si>
    <t>종료일</t>
    <phoneticPr fontId="2" type="noConversion"/>
  </si>
  <si>
    <t>시작일</t>
    <phoneticPr fontId="2" type="noConversion"/>
  </si>
  <si>
    <t>종료시간</t>
    <phoneticPr fontId="2" type="noConversion"/>
  </si>
  <si>
    <t>위치구분</t>
    <phoneticPr fontId="2" type="noConversion"/>
  </si>
  <si>
    <t>U1</t>
    <phoneticPr fontId="2" type="noConversion"/>
  </si>
  <si>
    <t>U3</t>
  </si>
  <si>
    <t>U4</t>
  </si>
  <si>
    <t>U5</t>
  </si>
  <si>
    <t>U2</t>
    <phoneticPr fontId="2" type="noConversion"/>
  </si>
  <si>
    <t>2025-01-10</t>
  </si>
  <si>
    <t>N33305</t>
  </si>
  <si>
    <t>B4C0533400</t>
  </si>
  <si>
    <t>B4C0149700</t>
  </si>
  <si>
    <t>B4C0533300</t>
  </si>
  <si>
    <t>B4B0496200</t>
  </si>
  <si>
    <t>N33135</t>
  </si>
  <si>
    <t>B4B0510500</t>
  </si>
  <si>
    <t>B4C0345300</t>
  </si>
  <si>
    <t>B4B0495300</t>
  </si>
  <si>
    <t>B4B0510300</t>
  </si>
  <si>
    <t>B4A0472700</t>
  </si>
  <si>
    <t>N33057</t>
  </si>
  <si>
    <t>1814</t>
  </si>
  <si>
    <t>1852</t>
  </si>
  <si>
    <t>1916</t>
  </si>
  <si>
    <t>1941</t>
  </si>
  <si>
    <t>2118</t>
  </si>
  <si>
    <t>2136</t>
  </si>
  <si>
    <t>2145</t>
  </si>
  <si>
    <t>2158</t>
  </si>
  <si>
    <t>2214</t>
  </si>
  <si>
    <t>2215</t>
  </si>
  <si>
    <t>사내강종</t>
    <phoneticPr fontId="2" type="noConversion"/>
  </si>
  <si>
    <t>304LDS1</t>
  </si>
  <si>
    <t>316LDS1</t>
  </si>
  <si>
    <t>1822</t>
  </si>
  <si>
    <t>1857</t>
  </si>
  <si>
    <t>1922</t>
  </si>
  <si>
    <t>1946</t>
  </si>
  <si>
    <t>2125</t>
  </si>
  <si>
    <t>2155</t>
  </si>
  <si>
    <t>2207</t>
  </si>
  <si>
    <t>2216</t>
  </si>
  <si>
    <t>D1</t>
    <phoneticPr fontId="2" type="noConversion"/>
  </si>
  <si>
    <t>D2</t>
  </si>
  <si>
    <t>D3</t>
  </si>
  <si>
    <t>D4</t>
  </si>
  <si>
    <t>D5</t>
  </si>
  <si>
    <t>Max SPD_3P</t>
    <phoneticPr fontId="2" type="noConversion"/>
  </si>
  <si>
    <t>Gap_3P</t>
    <phoneticPr fontId="2" type="noConversion"/>
  </si>
  <si>
    <t>Max SPD_4P</t>
  </si>
  <si>
    <t>Gap_4P</t>
  </si>
  <si>
    <t>Max SPD_5P</t>
  </si>
  <si>
    <t>Gap_5P</t>
  </si>
  <si>
    <t>Max SPD_6P</t>
  </si>
  <si>
    <t>Gap_6P</t>
  </si>
  <si>
    <t>Max SPD_7P</t>
  </si>
  <si>
    <t>Gap_7P</t>
  </si>
  <si>
    <t>Max SPD_8P</t>
  </si>
  <si>
    <t>Gap_8P</t>
  </si>
  <si>
    <t>Max cur_4P</t>
  </si>
  <si>
    <t>Max cur_5P</t>
  </si>
  <si>
    <t>Max cur_6P</t>
  </si>
  <si>
    <t>Max cur_7P</t>
  </si>
  <si>
    <t>Max cur_8P</t>
  </si>
  <si>
    <t>시간(계산)</t>
    <phoneticPr fontId="2" type="noConversion"/>
  </si>
  <si>
    <t>균열온도</t>
    <phoneticPr fontId="2" type="noConversion"/>
  </si>
  <si>
    <t>B4C0533200</t>
    <phoneticPr fontId="2" type="noConversion"/>
  </si>
  <si>
    <t>가열호수</t>
    <phoneticPr fontId="2" type="noConversion"/>
  </si>
  <si>
    <t>2025-01-26</t>
  </si>
  <si>
    <t>2025-02-17</t>
  </si>
  <si>
    <t>2025-03-09</t>
  </si>
  <si>
    <t>2025-03-14</t>
  </si>
  <si>
    <t>2025-03-15</t>
  </si>
  <si>
    <t>2025-03-22</t>
  </si>
  <si>
    <t>2025-05-05</t>
  </si>
  <si>
    <t>B4B0191400</t>
  </si>
  <si>
    <t>B4B0322600</t>
  </si>
  <si>
    <t>B4B0193400</t>
  </si>
  <si>
    <t>B4B0191600</t>
  </si>
  <si>
    <t>B4B0509600</t>
  </si>
  <si>
    <t>B4B0509900</t>
  </si>
  <si>
    <t>B4B0510400</t>
  </si>
  <si>
    <t>B4C0110900</t>
  </si>
  <si>
    <t>B510536000</t>
  </si>
  <si>
    <t>B4B0509700</t>
  </si>
  <si>
    <t>B4C0345600</t>
  </si>
  <si>
    <t>B4C0149500</t>
  </si>
  <si>
    <t>B4C0345500</t>
  </si>
  <si>
    <t>B510254200</t>
  </si>
  <si>
    <t>B510253800</t>
  </si>
  <si>
    <t>B510253900</t>
  </si>
  <si>
    <t>B530026800</t>
  </si>
  <si>
    <t>B530064700</t>
  </si>
  <si>
    <t>B530026500</t>
  </si>
  <si>
    <t>B530027200</t>
  </si>
  <si>
    <t>B520256300</t>
  </si>
  <si>
    <t>B530063800</t>
  </si>
  <si>
    <t>B520256500</t>
  </si>
  <si>
    <t>B520256400</t>
  </si>
  <si>
    <t>B530064400</t>
  </si>
  <si>
    <t>B520256700</t>
  </si>
  <si>
    <t>B520131200</t>
  </si>
  <si>
    <t>B520131800</t>
  </si>
  <si>
    <t>B520131700</t>
  </si>
  <si>
    <t>B530064600</t>
  </si>
  <si>
    <t>B520131600</t>
  </si>
  <si>
    <t>B520131500</t>
  </si>
  <si>
    <t>B530064300</t>
  </si>
  <si>
    <t>B530064200</t>
  </si>
  <si>
    <t>B530064500</t>
  </si>
  <si>
    <t>B520132000</t>
  </si>
  <si>
    <t>B530027500</t>
  </si>
  <si>
    <t>B530027400</t>
  </si>
  <si>
    <t>B530063900</t>
  </si>
  <si>
    <t>B530026900</t>
  </si>
  <si>
    <t>B530027100</t>
  </si>
  <si>
    <t>B530026600</t>
  </si>
  <si>
    <t>B530064000</t>
  </si>
  <si>
    <t>B530026400</t>
  </si>
  <si>
    <t>B530027300</t>
  </si>
  <si>
    <t>B530027000</t>
  </si>
  <si>
    <t>B530194600</t>
  </si>
  <si>
    <t>B530260500</t>
  </si>
  <si>
    <t>B530261200</t>
  </si>
  <si>
    <t>B530260400</t>
  </si>
  <si>
    <t>B530260600</t>
  </si>
  <si>
    <t>B530261500</t>
  </si>
  <si>
    <t>B530261300</t>
  </si>
  <si>
    <t>B530068100</t>
  </si>
  <si>
    <t>B530067900</t>
  </si>
  <si>
    <t>B530068400</t>
  </si>
  <si>
    <t>B530067400</t>
  </si>
  <si>
    <t>B530067700</t>
  </si>
  <si>
    <t>B530067800</t>
  </si>
  <si>
    <t>B530068300</t>
  </si>
  <si>
    <t>B530068200</t>
  </si>
  <si>
    <t>B530088600</t>
  </si>
  <si>
    <t>B530088500</t>
  </si>
  <si>
    <t>B4C0573700</t>
  </si>
  <si>
    <t>B520179600</t>
  </si>
  <si>
    <t>B520567000</t>
  </si>
  <si>
    <t>B530026700</t>
  </si>
  <si>
    <t>B530309800</t>
  </si>
  <si>
    <t>B520131000</t>
  </si>
  <si>
    <t>B520131900</t>
  </si>
  <si>
    <t>B520131300</t>
  </si>
  <si>
    <t>B520131100</t>
  </si>
  <si>
    <t>B530309300</t>
  </si>
  <si>
    <t>B530309100</t>
  </si>
  <si>
    <t>B530309600</t>
  </si>
  <si>
    <t>B530159000</t>
  </si>
  <si>
    <t>B530309400</t>
  </si>
  <si>
    <t>B530309500</t>
  </si>
  <si>
    <t>B530159400</t>
  </si>
  <si>
    <t>B530159200</t>
  </si>
  <si>
    <t>B530159100</t>
  </si>
  <si>
    <t>B530309700</t>
  </si>
  <si>
    <t>B530159500</t>
  </si>
  <si>
    <t>B530067500</t>
  </si>
  <si>
    <t>B530068000</t>
  </si>
  <si>
    <t>B530067600</t>
  </si>
  <si>
    <t>B530067300</t>
  </si>
  <si>
    <t>B540548100</t>
  </si>
  <si>
    <t>B510579600</t>
  </si>
  <si>
    <t>B540367200</t>
  </si>
  <si>
    <t>B530260700</t>
  </si>
  <si>
    <t>B510183400</t>
  </si>
  <si>
    <t>B4C0149600</t>
  </si>
  <si>
    <t>N33127</t>
  </si>
  <si>
    <t>N33306</t>
  </si>
  <si>
    <t>N33502</t>
  </si>
  <si>
    <t>N33522</t>
  </si>
  <si>
    <t>N33828</t>
  </si>
  <si>
    <t>N33693</t>
  </si>
  <si>
    <t>N33671</t>
  </si>
  <si>
    <t>N33862</t>
  </si>
  <si>
    <t>N33897</t>
  </si>
  <si>
    <t>N33842</t>
  </si>
  <si>
    <t>N34126</t>
  </si>
  <si>
    <t>1213</t>
  </si>
  <si>
    <t>1222</t>
  </si>
  <si>
    <t>1239</t>
  </si>
  <si>
    <t>1246</t>
  </si>
  <si>
    <t>1255</t>
  </si>
  <si>
    <t>1302</t>
  </si>
  <si>
    <t>1308</t>
  </si>
  <si>
    <t>1317</t>
  </si>
  <si>
    <t>1323</t>
  </si>
  <si>
    <t>1333</t>
  </si>
  <si>
    <t>1340</t>
  </si>
  <si>
    <t>1310</t>
  </si>
  <si>
    <t>1343</t>
  </si>
  <si>
    <t>1351</t>
  </si>
  <si>
    <t>1400</t>
  </si>
  <si>
    <t>1408</t>
  </si>
  <si>
    <t>1416</t>
  </si>
  <si>
    <t>1423</t>
  </si>
  <si>
    <t>1432</t>
  </si>
  <si>
    <t>1440</t>
  </si>
  <si>
    <t>1448</t>
  </si>
  <si>
    <t>1034</t>
  </si>
  <si>
    <t>1043</t>
  </si>
  <si>
    <t>1102</t>
  </si>
  <si>
    <t>1111</t>
  </si>
  <si>
    <t>1119</t>
  </si>
  <si>
    <t>1219</t>
  </si>
  <si>
    <t>1228</t>
  </si>
  <si>
    <t>1230</t>
  </si>
  <si>
    <t>1236</t>
  </si>
  <si>
    <t>1242</t>
  </si>
  <si>
    <t>1249</t>
  </si>
  <si>
    <t>1254</t>
  </si>
  <si>
    <t>1301</t>
  </si>
  <si>
    <t>1402</t>
  </si>
  <si>
    <t>1407</t>
  </si>
  <si>
    <t>1413</t>
  </si>
  <si>
    <t>1419</t>
  </si>
  <si>
    <t>1425</t>
  </si>
  <si>
    <t>1431</t>
  </si>
  <si>
    <t>1503</t>
  </si>
  <si>
    <t>1510</t>
  </si>
  <si>
    <t>1521</t>
  </si>
  <si>
    <t>1527</t>
  </si>
  <si>
    <t>1534</t>
  </si>
  <si>
    <t>1542</t>
  </si>
  <si>
    <t>1613</t>
  </si>
  <si>
    <t>1619</t>
  </si>
  <si>
    <t>1626</t>
  </si>
  <si>
    <t>1641</t>
  </si>
  <si>
    <t>1647</t>
  </si>
  <si>
    <t>1654</t>
  </si>
  <si>
    <t>1702</t>
  </si>
  <si>
    <t>1709</t>
  </si>
  <si>
    <t>1715</t>
  </si>
  <si>
    <t>1722</t>
  </si>
  <si>
    <t>1740</t>
  </si>
  <si>
    <t>1742</t>
  </si>
  <si>
    <t>STS316LS1</t>
  </si>
  <si>
    <t>0754</t>
  </si>
  <si>
    <t>0759</t>
  </si>
  <si>
    <t>STS304S1</t>
  </si>
  <si>
    <t>0458</t>
  </si>
  <si>
    <t>0504</t>
  </si>
  <si>
    <t>0510</t>
  </si>
  <si>
    <t>0517</t>
  </si>
  <si>
    <t>0523</t>
  </si>
  <si>
    <t>0529</t>
  </si>
  <si>
    <t>0535</t>
  </si>
  <si>
    <t>0806</t>
  </si>
  <si>
    <t>0812</t>
  </si>
  <si>
    <t>0830</t>
  </si>
  <si>
    <t>0838</t>
  </si>
  <si>
    <t>0849</t>
  </si>
  <si>
    <t>0859</t>
  </si>
  <si>
    <t>0908</t>
  </si>
  <si>
    <t>0918</t>
  </si>
  <si>
    <t>0926</t>
  </si>
  <si>
    <t>0938</t>
  </si>
  <si>
    <t>0942</t>
  </si>
  <si>
    <t>1019</t>
  </si>
  <si>
    <t>1033</t>
  </si>
  <si>
    <t>1426</t>
  </si>
  <si>
    <t>1509</t>
  </si>
  <si>
    <t>1515</t>
  </si>
  <si>
    <t>1524</t>
  </si>
  <si>
    <t>1532</t>
  </si>
  <si>
    <t>1541</t>
  </si>
  <si>
    <t>1549</t>
  </si>
  <si>
    <t>1557</t>
  </si>
  <si>
    <t>1603</t>
  </si>
  <si>
    <t>1610</t>
  </si>
  <si>
    <t>2140</t>
  </si>
  <si>
    <t>2142</t>
  </si>
  <si>
    <t>2212</t>
  </si>
  <si>
    <t>2219</t>
  </si>
  <si>
    <t>2227</t>
  </si>
  <si>
    <t>2241</t>
  </si>
  <si>
    <t>2307</t>
  </si>
  <si>
    <t>2312</t>
  </si>
  <si>
    <t>2318</t>
  </si>
  <si>
    <t>2323</t>
  </si>
  <si>
    <t>2328</t>
  </si>
  <si>
    <t>2334</t>
  </si>
  <si>
    <t>0941</t>
  </si>
  <si>
    <t>0953</t>
  </si>
  <si>
    <t>1010</t>
  </si>
  <si>
    <t>1016</t>
  </si>
  <si>
    <t>1025</t>
  </si>
  <si>
    <t>1036</t>
  </si>
  <si>
    <t>1050</t>
  </si>
  <si>
    <t>1059</t>
  </si>
  <si>
    <t>1105</t>
  </si>
  <si>
    <t>1112</t>
  </si>
  <si>
    <t>1118</t>
  </si>
  <si>
    <t>1202</t>
  </si>
  <si>
    <t>1204</t>
  </si>
  <si>
    <t>7호방</t>
  </si>
  <si>
    <t>5호방</t>
  </si>
  <si>
    <t>6호방</t>
  </si>
  <si>
    <t>U1</t>
  </si>
  <si>
    <t>U1</t>
    <phoneticPr fontId="2" type="noConversion"/>
  </si>
  <si>
    <t>U2</t>
  </si>
  <si>
    <t>D1</t>
  </si>
  <si>
    <t>D1</t>
    <phoneticPr fontId="2" type="noConversion"/>
  </si>
  <si>
    <t>UD</t>
    <phoneticPr fontId="2" type="noConversion"/>
  </si>
  <si>
    <t>U2</t>
    <phoneticPr fontId="2" type="noConversion"/>
  </si>
  <si>
    <t>U3</t>
    <phoneticPr fontId="2" type="noConversion"/>
  </si>
  <si>
    <t>U4</t>
    <phoneticPr fontId="2" type="noConversion"/>
  </si>
  <si>
    <t>U5</t>
    <phoneticPr fontId="2" type="noConversion"/>
  </si>
  <si>
    <t>D2</t>
    <phoneticPr fontId="2" type="noConversion"/>
  </si>
  <si>
    <t>D3</t>
    <phoneticPr fontId="2" type="noConversion"/>
  </si>
  <si>
    <t>D5</t>
    <phoneticPr fontId="2" type="noConversion"/>
  </si>
  <si>
    <t>D4</t>
    <phoneticPr fontId="2" type="noConversion"/>
  </si>
  <si>
    <t>담당자</t>
    <phoneticPr fontId="9" type="noConversion"/>
  </si>
  <si>
    <t>이관</t>
    <phoneticPr fontId="9" type="noConversion"/>
  </si>
  <si>
    <t>강성식</t>
    <phoneticPr fontId="9" type="noConversion"/>
  </si>
  <si>
    <t>최상민</t>
    <phoneticPr fontId="9" type="noConversion"/>
  </si>
  <si>
    <t>이관</t>
    <phoneticPr fontId="9" type="noConversion"/>
  </si>
  <si>
    <t>최상민</t>
    <phoneticPr fontId="9" type="noConversion"/>
  </si>
  <si>
    <t>강성식</t>
    <phoneticPr fontId="9" type="noConversion"/>
  </si>
  <si>
    <t>이관</t>
    <phoneticPr fontId="9" type="noConversion"/>
  </si>
  <si>
    <t>분류</t>
    <phoneticPr fontId="2" type="noConversion"/>
  </si>
  <si>
    <t>Door_open-3P종료시간</t>
    <phoneticPr fontId="2" type="noConversion"/>
  </si>
  <si>
    <t>Door_open-4P_Max부하시간</t>
  </si>
  <si>
    <t>Door_open-4P종료시간</t>
  </si>
  <si>
    <t>Door_open-5P_Max부하시간</t>
  </si>
  <si>
    <t>Door_open-5P종료시간</t>
  </si>
  <si>
    <t>Door_open-6P_Max부하시간</t>
  </si>
  <si>
    <t>Door_open-6P종료시간</t>
  </si>
  <si>
    <t>Door_open-7P_Max부하시간</t>
  </si>
  <si>
    <t>Door_open-7P종료시간</t>
  </si>
  <si>
    <t>Door_open-8P_Max부하시간</t>
  </si>
  <si>
    <t>Door_open-8P종료시간</t>
  </si>
  <si>
    <t>Door_open-3P_Max부하시간</t>
    <phoneticPr fontId="2" type="noConversion"/>
  </si>
  <si>
    <t>Max cur_3P</t>
  </si>
  <si>
    <t>Max cur_3P</t>
    <phoneticPr fontId="2" type="noConversion"/>
  </si>
  <si>
    <t>Max SPD_3P</t>
  </si>
  <si>
    <t>Gap_3P</t>
  </si>
  <si>
    <t>제강 스케쥴</t>
    <phoneticPr fontId="2" type="noConversion"/>
  </si>
  <si>
    <t>물량</t>
    <phoneticPr fontId="2" type="noConversion"/>
  </si>
  <si>
    <t>특수합금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</si>
</sst>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_-;\-* #,##0.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Arial"/>
      <family val="2"/>
    </font>
    <font>
      <sz val="11"/>
      <color rgb="FF00B050"/>
      <name val="맑은 고딕"/>
      <family val="2"/>
      <charset val="129"/>
      <scheme val="minor"/>
    </font>
    <font>
      <sz val="10"/>
      <color rgb="FF00B050"/>
      <name val="돋움"/>
      <family val="3"/>
      <charset val="129"/>
    </font>
    <font>
      <sz val="10"/>
      <color rgb="FF00B050"/>
      <name val="Arial"/>
      <family val="2"/>
    </font>
    <font>
      <sz val="11"/>
      <color rgb="FF00B050"/>
      <name val="맑은 고딕"/>
      <family val="3"/>
      <charset val="129"/>
      <scheme val="minor"/>
    </font>
    <font>
      <sz val="11"/>
      <color theme="5"/>
      <name val="맑은 고딕"/>
      <family val="2"/>
      <charset val="129"/>
      <scheme val="minor"/>
    </font>
    <font>
      <sz val="10"/>
      <color theme="5"/>
      <name val="돋움"/>
      <family val="3"/>
      <charset val="129"/>
    </font>
    <font>
      <sz val="10"/>
      <color theme="5"/>
      <name val="Arial"/>
      <family val="2"/>
    </font>
    <font>
      <sz val="11"/>
      <color theme="5"/>
      <name val="맑은 고딕"/>
      <family val="3"/>
      <charset val="129"/>
      <scheme val="minor"/>
    </font>
    <font>
      <b/>
      <sz val="11"/>
      <color rgb="FFFF00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41" fontId="0" fillId="0" borderId="11" xfId="1" applyFont="1" applyBorder="1">
      <alignment vertical="center"/>
    </xf>
    <xf numFmtId="41" fontId="0" fillId="0" borderId="13" xfId="1" applyFont="1" applyBorder="1">
      <alignment vertical="center"/>
    </xf>
    <xf numFmtId="41" fontId="0" fillId="0" borderId="14" xfId="1" applyFont="1" applyBorder="1">
      <alignment vertical="center"/>
    </xf>
    <xf numFmtId="41" fontId="0" fillId="0" borderId="15" xfId="1" applyFont="1" applyBorder="1">
      <alignment vertical="center"/>
    </xf>
    <xf numFmtId="41" fontId="0" fillId="0" borderId="3" xfId="1" applyFont="1" applyBorder="1">
      <alignment vertical="center"/>
    </xf>
    <xf numFmtId="41" fontId="0" fillId="0" borderId="4" xfId="1" applyFont="1" applyBorder="1">
      <alignment vertical="center"/>
    </xf>
    <xf numFmtId="41" fontId="0" fillId="0" borderId="2" xfId="1" applyFont="1" applyBorder="1">
      <alignment vertical="center"/>
    </xf>
    <xf numFmtId="41" fontId="0" fillId="0" borderId="9" xfId="1" applyFont="1" applyBorder="1">
      <alignment vertical="center"/>
    </xf>
    <xf numFmtId="41" fontId="1" fillId="0" borderId="3" xfId="1" applyFont="1" applyBorder="1">
      <alignment vertical="center"/>
    </xf>
    <xf numFmtId="41" fontId="1" fillId="0" borderId="4" xfId="1" applyFont="1" applyBorder="1">
      <alignment vertical="center"/>
    </xf>
    <xf numFmtId="41" fontId="1" fillId="0" borderId="2" xfId="1" applyFont="1" applyBorder="1">
      <alignment vertical="center"/>
    </xf>
    <xf numFmtId="41" fontId="1" fillId="0" borderId="9" xfId="1" applyFont="1" applyBorder="1">
      <alignment vertical="center"/>
    </xf>
    <xf numFmtId="41" fontId="4" fillId="0" borderId="3" xfId="1" applyFont="1" applyBorder="1">
      <alignment vertical="center"/>
    </xf>
    <xf numFmtId="41" fontId="4" fillId="0" borderId="4" xfId="1" applyFont="1" applyBorder="1">
      <alignment vertical="center"/>
    </xf>
    <xf numFmtId="176" fontId="0" fillId="0" borderId="12" xfId="1" applyNumberFormat="1" applyFont="1" applyBorder="1">
      <alignment vertical="center"/>
    </xf>
    <xf numFmtId="176" fontId="0" fillId="0" borderId="1" xfId="1" applyNumberFormat="1" applyFont="1" applyBorder="1">
      <alignment vertical="center"/>
    </xf>
    <xf numFmtId="176" fontId="1" fillId="0" borderId="1" xfId="1" applyNumberFormat="1" applyFont="1" applyBorder="1">
      <alignment vertical="center"/>
    </xf>
    <xf numFmtId="176" fontId="4" fillId="0" borderId="1" xfId="1" applyNumberFormat="1" applyFont="1" applyBorder="1">
      <alignment vertical="center"/>
    </xf>
    <xf numFmtId="41" fontId="0" fillId="0" borderId="16" xfId="1" applyFont="1" applyFill="1" applyBorder="1" applyAlignment="1">
      <alignment horizontal="center" vertical="center"/>
    </xf>
    <xf numFmtId="41" fontId="0" fillId="3" borderId="3" xfId="1" applyFont="1" applyFill="1" applyBorder="1">
      <alignment vertical="center"/>
    </xf>
    <xf numFmtId="41" fontId="0" fillId="0" borderId="5" xfId="1" applyFont="1" applyBorder="1">
      <alignment vertical="center"/>
    </xf>
    <xf numFmtId="41" fontId="0" fillId="0" borderId="0" xfId="1" applyFont="1">
      <alignment vertical="center"/>
    </xf>
    <xf numFmtId="41" fontId="0" fillId="0" borderId="18" xfId="1" applyFont="1" applyFill="1" applyBorder="1" applyAlignment="1">
      <alignment horizontal="center" vertical="center"/>
    </xf>
    <xf numFmtId="41" fontId="0" fillId="3" borderId="4" xfId="1" applyFont="1" applyFill="1" applyBorder="1">
      <alignment vertical="center"/>
    </xf>
    <xf numFmtId="41" fontId="0" fillId="0" borderId="7" xfId="1" applyFont="1" applyBorder="1">
      <alignment vertical="center"/>
    </xf>
    <xf numFmtId="41" fontId="0" fillId="0" borderId="19" xfId="1" applyFont="1" applyFill="1" applyBorder="1" applyAlignment="1">
      <alignment horizontal="center" vertical="center"/>
    </xf>
    <xf numFmtId="41" fontId="0" fillId="3" borderId="2" xfId="1" applyFont="1" applyFill="1" applyBorder="1">
      <alignment vertical="center"/>
    </xf>
    <xf numFmtId="41" fontId="0" fillId="0" borderId="8" xfId="1" applyFont="1" applyBorder="1">
      <alignment vertical="center"/>
    </xf>
    <xf numFmtId="41" fontId="0" fillId="0" borderId="20" xfId="1" applyFont="1" applyFill="1" applyBorder="1" applyAlignment="1">
      <alignment horizontal="center" vertical="center"/>
    </xf>
    <xf numFmtId="41" fontId="0" fillId="3" borderId="9" xfId="1" applyFont="1" applyFill="1" applyBorder="1">
      <alignment vertical="center"/>
    </xf>
    <xf numFmtId="41" fontId="0" fillId="0" borderId="10" xfId="1" applyFont="1" applyBorder="1">
      <alignment vertical="center"/>
    </xf>
    <xf numFmtId="176" fontId="0" fillId="3" borderId="1" xfId="1" applyNumberFormat="1" applyFont="1" applyFill="1" applyBorder="1">
      <alignment vertical="center"/>
    </xf>
    <xf numFmtId="176" fontId="0" fillId="0" borderId="1" xfId="0" applyNumberFormat="1" applyBorder="1">
      <alignment vertical="center"/>
    </xf>
    <xf numFmtId="176" fontId="4" fillId="0" borderId="1" xfId="0" applyNumberFormat="1" applyFont="1" applyBorder="1">
      <alignment vertical="center"/>
    </xf>
    <xf numFmtId="176" fontId="0" fillId="3" borderId="1" xfId="0" applyNumberFormat="1" applyFill="1" applyBorder="1">
      <alignment vertical="center"/>
    </xf>
    <xf numFmtId="41" fontId="0" fillId="0" borderId="0" xfId="1" applyFont="1" applyFill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 applyAlignment="1"/>
    <xf numFmtId="0" fontId="10" fillId="4" borderId="0" xfId="0" applyFont="1" applyFill="1" applyAlignment="1"/>
    <xf numFmtId="0" fontId="0" fillId="0" borderId="0" xfId="0">
      <alignment vertical="center"/>
    </xf>
    <xf numFmtId="0" fontId="11" fillId="4" borderId="0" xfId="0" applyFont="1" applyFill="1" applyAlignment="1"/>
    <xf numFmtId="0" fontId="8" fillId="5" borderId="0" xfId="0" applyFont="1" applyFill="1" applyAlignment="1"/>
    <xf numFmtId="0" fontId="0" fillId="5" borderId="0" xfId="0" applyFill="1" applyAlignment="1"/>
    <xf numFmtId="0" fontId="8" fillId="4" borderId="0" xfId="0" applyFont="1" applyFill="1" applyAlignment="1"/>
    <xf numFmtId="0" fontId="0" fillId="4" borderId="0" xfId="0" applyFill="1" applyAlignment="1"/>
    <xf numFmtId="0" fontId="10" fillId="5" borderId="0" xfId="0" applyFont="1" applyFill="1" applyAlignment="1"/>
    <xf numFmtId="0" fontId="11" fillId="5" borderId="0" xfId="0" applyFont="1" applyFill="1" applyAlignment="1"/>
    <xf numFmtId="0" fontId="8" fillId="6" borderId="0" xfId="0" applyFont="1" applyFill="1" applyAlignment="1"/>
    <xf numFmtId="0" fontId="0" fillId="6" borderId="0" xfId="0" applyFill="1" applyAlignment="1"/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12" fillId="0" borderId="3" xfId="0" applyFont="1" applyBorder="1">
      <alignment vertical="center"/>
    </xf>
    <xf numFmtId="0" fontId="12" fillId="0" borderId="1" xfId="0" applyFont="1" applyBorder="1">
      <alignment vertical="center"/>
    </xf>
    <xf numFmtId="0" fontId="12" fillId="0" borderId="4" xfId="0" applyFont="1" applyBorder="1">
      <alignment vertical="center"/>
    </xf>
    <xf numFmtId="41" fontId="12" fillId="0" borderId="3" xfId="1" applyFont="1" applyBorder="1">
      <alignment vertical="center"/>
    </xf>
    <xf numFmtId="176" fontId="12" fillId="0" borderId="1" xfId="0" applyNumberFormat="1" applyFont="1" applyBorder="1">
      <alignment vertical="center"/>
    </xf>
    <xf numFmtId="41" fontId="12" fillId="0" borderId="4" xfId="1" applyFont="1" applyBorder="1">
      <alignment vertical="center"/>
    </xf>
    <xf numFmtId="41" fontId="12" fillId="0" borderId="2" xfId="1" applyFont="1" applyBorder="1">
      <alignment vertical="center"/>
    </xf>
    <xf numFmtId="41" fontId="12" fillId="0" borderId="9" xfId="1" applyFont="1" applyBorder="1">
      <alignment vertical="center"/>
    </xf>
    <xf numFmtId="176" fontId="12" fillId="0" borderId="1" xfId="1" applyNumberFormat="1" applyFont="1" applyBorder="1">
      <alignment vertical="center"/>
    </xf>
    <xf numFmtId="0" fontId="12" fillId="0" borderId="0" xfId="0" applyFont="1">
      <alignment vertical="center"/>
    </xf>
    <xf numFmtId="0" fontId="13" fillId="4" borderId="0" xfId="0" applyFont="1" applyFill="1" applyAlignment="1"/>
    <xf numFmtId="0" fontId="12" fillId="7" borderId="0" xfId="0" applyFont="1" applyFill="1">
      <alignment vertical="center"/>
    </xf>
    <xf numFmtId="0" fontId="12" fillId="4" borderId="0" xfId="0" applyFont="1" applyFill="1" applyAlignment="1"/>
    <xf numFmtId="0" fontId="16" fillId="0" borderId="3" xfId="0" applyFont="1" applyBorder="1">
      <alignment vertical="center"/>
    </xf>
    <xf numFmtId="0" fontId="16" fillId="0" borderId="1" xfId="0" applyFont="1" applyBorder="1">
      <alignment vertical="center"/>
    </xf>
    <xf numFmtId="0" fontId="16" fillId="0" borderId="4" xfId="0" applyFont="1" applyBorder="1">
      <alignment vertical="center"/>
    </xf>
    <xf numFmtId="41" fontId="16" fillId="0" borderId="3" xfId="1" applyFont="1" applyBorder="1">
      <alignment vertical="center"/>
    </xf>
    <xf numFmtId="176" fontId="16" fillId="0" borderId="1" xfId="0" applyNumberFormat="1" applyFont="1" applyBorder="1">
      <alignment vertical="center"/>
    </xf>
    <xf numFmtId="41" fontId="16" fillId="0" borderId="2" xfId="1" applyFont="1" applyBorder="1">
      <alignment vertical="center"/>
    </xf>
    <xf numFmtId="0" fontId="16" fillId="0" borderId="0" xfId="0" applyFont="1">
      <alignment vertical="center"/>
    </xf>
    <xf numFmtId="0" fontId="17" fillId="4" borderId="0" xfId="0" applyFont="1" applyFill="1" applyAlignment="1"/>
    <xf numFmtId="0" fontId="16" fillId="7" borderId="0" xfId="0" applyFont="1" applyFill="1">
      <alignment vertical="center"/>
    </xf>
    <xf numFmtId="0" fontId="18" fillId="4" borderId="0" xfId="0" applyFont="1" applyFill="1" applyAlignment="1"/>
    <xf numFmtId="41" fontId="0" fillId="0" borderId="21" xfId="1" applyFont="1" applyFill="1" applyBorder="1" applyAlignment="1">
      <alignment horizontal="center" vertical="center"/>
    </xf>
    <xf numFmtId="176" fontId="12" fillId="0" borderId="4" xfId="1" applyNumberFormat="1" applyFont="1" applyBorder="1">
      <alignment vertical="center"/>
    </xf>
    <xf numFmtId="176" fontId="16" fillId="0" borderId="4" xfId="1" applyNumberFormat="1" applyFont="1" applyBorder="1">
      <alignment vertical="center"/>
    </xf>
    <xf numFmtId="0" fontId="16" fillId="0" borderId="5" xfId="0" applyFont="1" applyBorder="1">
      <alignment vertical="center"/>
    </xf>
    <xf numFmtId="0" fontId="16" fillId="0" borderId="6" xfId="0" applyFont="1" applyBorder="1">
      <alignment vertical="center"/>
    </xf>
    <xf numFmtId="0" fontId="19" fillId="0" borderId="6" xfId="0" applyFont="1" applyBorder="1">
      <alignment vertical="center"/>
    </xf>
    <xf numFmtId="0" fontId="16" fillId="0" borderId="7" xfId="0" applyFont="1" applyBorder="1">
      <alignment vertical="center"/>
    </xf>
    <xf numFmtId="41" fontId="16" fillId="0" borderId="8" xfId="1" applyFont="1" applyBorder="1">
      <alignment vertical="center"/>
    </xf>
    <xf numFmtId="176" fontId="16" fillId="0" borderId="6" xfId="0" applyNumberFormat="1" applyFont="1" applyBorder="1">
      <alignment vertical="center"/>
    </xf>
    <xf numFmtId="41" fontId="16" fillId="0" borderId="5" xfId="1" applyFont="1" applyBorder="1">
      <alignment vertical="center"/>
    </xf>
    <xf numFmtId="176" fontId="16" fillId="0" borderId="7" xfId="1" applyNumberFormat="1" applyFont="1" applyBorder="1">
      <alignment vertical="center"/>
    </xf>
    <xf numFmtId="176" fontId="12" fillId="0" borderId="4" xfId="0" applyNumberFormat="1" applyFont="1" applyBorder="1">
      <alignment vertical="center"/>
    </xf>
    <xf numFmtId="176" fontId="16" fillId="0" borderId="4" xfId="0" applyNumberFormat="1" applyFont="1" applyBorder="1">
      <alignment vertical="center"/>
    </xf>
    <xf numFmtId="176" fontId="16" fillId="0" borderId="7" xfId="0" applyNumberFormat="1" applyFont="1" applyBorder="1">
      <alignment vertical="center"/>
    </xf>
    <xf numFmtId="176" fontId="1" fillId="0" borderId="4" xfId="0" applyNumberFormat="1" applyFont="1" applyBorder="1">
      <alignment vertical="center"/>
    </xf>
    <xf numFmtId="176" fontId="4" fillId="0" borderId="4" xfId="0" applyNumberFormat="1" applyFont="1" applyBorder="1">
      <alignment vertical="center"/>
    </xf>
    <xf numFmtId="176" fontId="1" fillId="0" borderId="4" xfId="1" applyNumberFormat="1" applyFont="1" applyBorder="1">
      <alignment vertical="center"/>
    </xf>
    <xf numFmtId="0" fontId="1" fillId="7" borderId="0" xfId="0" applyFont="1" applyFill="1">
      <alignment vertical="center"/>
    </xf>
    <xf numFmtId="41" fontId="4" fillId="9" borderId="2" xfId="1" applyFont="1" applyFill="1" applyBorder="1">
      <alignment vertical="center"/>
    </xf>
    <xf numFmtId="176" fontId="4" fillId="9" borderId="1" xfId="0" applyNumberFormat="1" applyFont="1" applyFill="1" applyBorder="1">
      <alignment vertical="center"/>
    </xf>
    <xf numFmtId="41" fontId="4" fillId="9" borderId="3" xfId="1" applyFont="1" applyFill="1" applyBorder="1">
      <alignment vertical="center"/>
    </xf>
    <xf numFmtId="176" fontId="4" fillId="9" borderId="4" xfId="0" applyNumberFormat="1" applyFont="1" applyFill="1" applyBorder="1">
      <alignment vertical="center"/>
    </xf>
    <xf numFmtId="0" fontId="12" fillId="10" borderId="3" xfId="0" applyFont="1" applyFill="1" applyBorder="1">
      <alignment vertical="center"/>
    </xf>
    <xf numFmtId="0" fontId="12" fillId="10" borderId="1" xfId="0" applyFont="1" applyFill="1" applyBorder="1">
      <alignment vertical="center"/>
    </xf>
    <xf numFmtId="0" fontId="12" fillId="10" borderId="4" xfId="0" applyFont="1" applyFill="1" applyBorder="1">
      <alignment vertical="center"/>
    </xf>
    <xf numFmtId="41" fontId="12" fillId="10" borderId="3" xfId="1" applyFont="1" applyFill="1" applyBorder="1">
      <alignment vertical="center"/>
    </xf>
    <xf numFmtId="176" fontId="12" fillId="10" borderId="1" xfId="0" applyNumberFormat="1" applyFont="1" applyFill="1" applyBorder="1">
      <alignment vertical="center"/>
    </xf>
    <xf numFmtId="41" fontId="12" fillId="10" borderId="4" xfId="1" applyFont="1" applyFill="1" applyBorder="1">
      <alignment vertical="center"/>
    </xf>
    <xf numFmtId="41" fontId="12" fillId="10" borderId="2" xfId="1" applyFont="1" applyFill="1" applyBorder="1">
      <alignment vertical="center"/>
    </xf>
    <xf numFmtId="41" fontId="12" fillId="10" borderId="9" xfId="1" applyFont="1" applyFill="1" applyBorder="1">
      <alignment vertical="center"/>
    </xf>
    <xf numFmtId="176" fontId="12" fillId="10" borderId="1" xfId="1" applyNumberFormat="1" applyFont="1" applyFill="1" applyBorder="1">
      <alignment vertical="center"/>
    </xf>
    <xf numFmtId="0" fontId="12" fillId="10" borderId="0" xfId="0" applyFont="1" applyFill="1">
      <alignment vertical="center"/>
    </xf>
    <xf numFmtId="0" fontId="13" fillId="10" borderId="0" xfId="0" applyFont="1" applyFill="1" applyAlignment="1"/>
    <xf numFmtId="0" fontId="14" fillId="10" borderId="0" xfId="0" applyFont="1" applyFill="1" applyAlignment="1"/>
    <xf numFmtId="41" fontId="1" fillId="10" borderId="3" xfId="1" applyFont="1" applyFill="1" applyBorder="1">
      <alignment vertical="center"/>
    </xf>
    <xf numFmtId="176" fontId="1" fillId="10" borderId="1" xfId="0" applyNumberFormat="1" applyFont="1" applyFill="1" applyBorder="1">
      <alignment vertical="center"/>
    </xf>
    <xf numFmtId="41" fontId="1" fillId="10" borderId="4" xfId="1" applyFont="1" applyFill="1" applyBorder="1">
      <alignment vertical="center"/>
    </xf>
    <xf numFmtId="41" fontId="1" fillId="10" borderId="2" xfId="1" applyFont="1" applyFill="1" applyBorder="1">
      <alignment vertical="center"/>
    </xf>
    <xf numFmtId="41" fontId="1" fillId="10" borderId="9" xfId="1" applyFont="1" applyFill="1" applyBorder="1">
      <alignment vertical="center"/>
    </xf>
    <xf numFmtId="41" fontId="20" fillId="10" borderId="3" xfId="1" applyFont="1" applyFill="1" applyBorder="1">
      <alignment vertical="center"/>
    </xf>
    <xf numFmtId="176" fontId="20" fillId="10" borderId="1" xfId="0" applyNumberFormat="1" applyFont="1" applyFill="1" applyBorder="1">
      <alignment vertical="center"/>
    </xf>
    <xf numFmtId="41" fontId="20" fillId="10" borderId="4" xfId="1" applyFont="1" applyFill="1" applyBorder="1">
      <alignment vertical="center"/>
    </xf>
    <xf numFmtId="176" fontId="1" fillId="10" borderId="1" xfId="1" applyNumberFormat="1" applyFont="1" applyFill="1" applyBorder="1">
      <alignment vertical="center"/>
    </xf>
    <xf numFmtId="0" fontId="15" fillId="10" borderId="1" xfId="0" applyFont="1" applyFill="1" applyBorder="1">
      <alignment vertical="center"/>
    </xf>
    <xf numFmtId="0" fontId="0" fillId="0" borderId="22" xfId="0" applyFill="1" applyBorder="1" applyAlignment="1">
      <alignment horizontal="center" vertical="center"/>
    </xf>
    <xf numFmtId="41" fontId="16" fillId="0" borderId="23" xfId="0" applyNumberFormat="1" applyFont="1" applyBorder="1">
      <alignment vertical="center"/>
    </xf>
    <xf numFmtId="176" fontId="16" fillId="0" borderId="23" xfId="0" applyNumberFormat="1" applyFont="1" applyBorder="1">
      <alignment vertical="center"/>
    </xf>
    <xf numFmtId="41" fontId="1" fillId="0" borderId="23" xfId="0" applyNumberFormat="1" applyFont="1" applyBorder="1">
      <alignment vertical="center"/>
    </xf>
    <xf numFmtId="176" fontId="1" fillId="0" borderId="23" xfId="0" applyNumberFormat="1" applyFont="1" applyBorder="1">
      <alignment vertical="center"/>
    </xf>
    <xf numFmtId="41" fontId="16" fillId="0" borderId="24" xfId="0" applyNumberFormat="1" applyFont="1" applyBorder="1">
      <alignment vertical="center"/>
    </xf>
    <xf numFmtId="176" fontId="16" fillId="0" borderId="24" xfId="0" applyNumberFormat="1" applyFont="1" applyBorder="1">
      <alignment vertical="center"/>
    </xf>
    <xf numFmtId="41" fontId="12" fillId="0" borderId="23" xfId="0" applyNumberFormat="1" applyFont="1" applyBorder="1">
      <alignment vertical="center"/>
    </xf>
    <xf numFmtId="176" fontId="12" fillId="0" borderId="23" xfId="0" applyNumberFormat="1" applyFont="1" applyBorder="1">
      <alignment vertical="center"/>
    </xf>
  </cellXfs>
  <cellStyles count="3">
    <cellStyle name="쉼표 [0]" xfId="1" builtinId="6"/>
    <cellStyle name="쉼표 [0] 2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Sheet3!$AN$1</c:f>
              <c:strCache>
                <c:ptCount val="1"/>
                <c:pt idx="0">
                  <c:v>Door_open-6P_Max부하시간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DA-4D13-890B-C1525E5F10B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DA-4D13-890B-C1525E5F10B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9DA-4D13-890B-C1525E5F10B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9DA-4D13-890B-C1525E5F10B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9DA-4D13-890B-C1525E5F10B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9DA-4D13-890B-C1525E5F10B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9DA-4D13-890B-C1525E5F10B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D9DA-4D13-890B-C1525E5F10B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D9DA-4D13-890B-C1525E5F10B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D9DA-4D13-890B-C1525E5F10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Sheet3!$M$2:$M$21</c:f>
              <c:strCache>
                <c:ptCount val="20"/>
                <c:pt idx="0">
                  <c:v>U1-9일</c:v>
                </c:pt>
                <c:pt idx="1">
                  <c:v>U2-9일</c:v>
                </c:pt>
                <c:pt idx="2">
                  <c:v>U3-9일</c:v>
                </c:pt>
                <c:pt idx="3">
                  <c:v>U4-9일</c:v>
                </c:pt>
                <c:pt idx="4">
                  <c:v>U5-9일</c:v>
                </c:pt>
                <c:pt idx="5">
                  <c:v>D1-9일</c:v>
                </c:pt>
                <c:pt idx="6">
                  <c:v>D2-9일</c:v>
                </c:pt>
                <c:pt idx="7">
                  <c:v>D3-9일</c:v>
                </c:pt>
                <c:pt idx="8">
                  <c:v>D4-9일</c:v>
                </c:pt>
                <c:pt idx="9">
                  <c:v>D5-9일</c:v>
                </c:pt>
                <c:pt idx="10">
                  <c:v>U1-15일</c:v>
                </c:pt>
                <c:pt idx="11">
                  <c:v>U2-15일</c:v>
                </c:pt>
                <c:pt idx="12">
                  <c:v>U3-15일</c:v>
                </c:pt>
                <c:pt idx="13">
                  <c:v>U4-15일</c:v>
                </c:pt>
                <c:pt idx="14">
                  <c:v>U5-15일</c:v>
                </c:pt>
                <c:pt idx="15">
                  <c:v>D1-15일</c:v>
                </c:pt>
                <c:pt idx="16">
                  <c:v>D2-15일</c:v>
                </c:pt>
                <c:pt idx="17">
                  <c:v>D3-15일</c:v>
                </c:pt>
                <c:pt idx="18">
                  <c:v>D4-15일</c:v>
                </c:pt>
                <c:pt idx="19">
                  <c:v>D5-15일</c:v>
                </c:pt>
              </c:strCache>
            </c:strRef>
          </c:cat>
          <c:val>
            <c:numRef>
              <c:f>Sheet3!$AN$2:$AN$21</c:f>
              <c:numCache>
                <c:formatCode>_(* #,##0_);_(* \(#,##0\);_(* "-"_);_(@_)</c:formatCode>
                <c:ptCount val="20"/>
                <c:pt idx="0">
                  <c:v>143</c:v>
                </c:pt>
                <c:pt idx="1">
                  <c:v>135</c:v>
                </c:pt>
                <c:pt idx="2">
                  <c:v>136</c:v>
                </c:pt>
                <c:pt idx="3">
                  <c:v>136</c:v>
                </c:pt>
                <c:pt idx="4">
                  <c:v>129</c:v>
                </c:pt>
                <c:pt idx="5">
                  <c:v>180</c:v>
                </c:pt>
                <c:pt idx="6">
                  <c:v>170</c:v>
                </c:pt>
                <c:pt idx="7">
                  <c:v>161</c:v>
                </c:pt>
                <c:pt idx="8">
                  <c:v>158</c:v>
                </c:pt>
                <c:pt idx="9">
                  <c:v>155</c:v>
                </c:pt>
                <c:pt idx="10">
                  <c:v>159</c:v>
                </c:pt>
                <c:pt idx="11">
                  <c:v>148</c:v>
                </c:pt>
                <c:pt idx="12">
                  <c:v>148</c:v>
                </c:pt>
                <c:pt idx="13">
                  <c:v>144</c:v>
                </c:pt>
                <c:pt idx="14">
                  <c:v>146</c:v>
                </c:pt>
                <c:pt idx="15">
                  <c:v>141</c:v>
                </c:pt>
                <c:pt idx="16">
                  <c:v>137</c:v>
                </c:pt>
                <c:pt idx="17">
                  <c:v>144</c:v>
                </c:pt>
                <c:pt idx="18">
                  <c:v>317</c:v>
                </c:pt>
                <c:pt idx="1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9DA-4D13-890B-C1525E5F1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299088272"/>
        <c:axId val="1299087728"/>
      </c:barChart>
      <c:lineChart>
        <c:grouping val="standard"/>
        <c:varyColors val="0"/>
        <c:ser>
          <c:idx val="0"/>
          <c:order val="0"/>
          <c:tx>
            <c:strRef>
              <c:f>Sheet3!$Y$1</c:f>
              <c:strCache>
                <c:ptCount val="1"/>
                <c:pt idx="0">
                  <c:v>Max cur_6P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square"/>
            <c:size val="12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dPt>
            <c:idx val="5"/>
            <c:marker>
              <c:symbol val="square"/>
              <c:size val="12"/>
              <c:spPr>
                <a:solidFill>
                  <a:schemeClr val="accent1">
                    <a:shade val="76000"/>
                  </a:schemeClr>
                </a:solidFill>
                <a:ln w="9525">
                  <a:solidFill>
                    <a:schemeClr val="accent1">
                      <a:shade val="76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D9DA-4D13-890B-C1525E5F10B9}"/>
              </c:ext>
            </c:extLst>
          </c:dPt>
          <c:dPt>
            <c:idx val="10"/>
            <c:marker>
              <c:symbol val="square"/>
              <c:size val="12"/>
              <c:spPr>
                <a:solidFill>
                  <a:schemeClr val="accent1">
                    <a:shade val="76000"/>
                  </a:schemeClr>
                </a:solidFill>
                <a:ln w="9525">
                  <a:solidFill>
                    <a:schemeClr val="accent1">
                      <a:shade val="76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D9DA-4D13-890B-C1525E5F10B9}"/>
              </c:ext>
            </c:extLst>
          </c:dPt>
          <c:dPt>
            <c:idx val="15"/>
            <c:marker>
              <c:symbol val="square"/>
              <c:size val="12"/>
              <c:spPr>
                <a:solidFill>
                  <a:schemeClr val="accent1">
                    <a:shade val="76000"/>
                  </a:schemeClr>
                </a:solidFill>
                <a:ln w="9525">
                  <a:solidFill>
                    <a:schemeClr val="accent1">
                      <a:shade val="76000"/>
                    </a:schemeClr>
                  </a:solidFill>
                </a:ln>
                <a:effectLst/>
              </c:spPr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D9DA-4D13-890B-C1525E5F10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Sheet3!$M$2:$M$21</c:f>
              <c:strCache>
                <c:ptCount val="20"/>
                <c:pt idx="0">
                  <c:v>U1-9일</c:v>
                </c:pt>
                <c:pt idx="1">
                  <c:v>U2-9일</c:v>
                </c:pt>
                <c:pt idx="2">
                  <c:v>U3-9일</c:v>
                </c:pt>
                <c:pt idx="3">
                  <c:v>U4-9일</c:v>
                </c:pt>
                <c:pt idx="4">
                  <c:v>U5-9일</c:v>
                </c:pt>
                <c:pt idx="5">
                  <c:v>D1-9일</c:v>
                </c:pt>
                <c:pt idx="6">
                  <c:v>D2-9일</c:v>
                </c:pt>
                <c:pt idx="7">
                  <c:v>D3-9일</c:v>
                </c:pt>
                <c:pt idx="8">
                  <c:v>D4-9일</c:v>
                </c:pt>
                <c:pt idx="9">
                  <c:v>D5-9일</c:v>
                </c:pt>
                <c:pt idx="10">
                  <c:v>U1-15일</c:v>
                </c:pt>
                <c:pt idx="11">
                  <c:v>U2-15일</c:v>
                </c:pt>
                <c:pt idx="12">
                  <c:v>U3-15일</c:v>
                </c:pt>
                <c:pt idx="13">
                  <c:v>U4-15일</c:v>
                </c:pt>
                <c:pt idx="14">
                  <c:v>U5-15일</c:v>
                </c:pt>
                <c:pt idx="15">
                  <c:v>D1-15일</c:v>
                </c:pt>
                <c:pt idx="16">
                  <c:v>D2-15일</c:v>
                </c:pt>
                <c:pt idx="17">
                  <c:v>D3-15일</c:v>
                </c:pt>
                <c:pt idx="18">
                  <c:v>D4-15일</c:v>
                </c:pt>
                <c:pt idx="19">
                  <c:v>D5-15일</c:v>
                </c:pt>
              </c:strCache>
            </c:strRef>
          </c:cat>
          <c:val>
            <c:numRef>
              <c:f>Sheet3!$Y$2:$Y$21</c:f>
              <c:numCache>
                <c:formatCode>_(* #,##0_);_(* \(#,##0\);_(* "-"_);_(@_)</c:formatCode>
                <c:ptCount val="20"/>
                <c:pt idx="0">
                  <c:v>178.37799999999999</c:v>
                </c:pt>
                <c:pt idx="1">
                  <c:v>159.739</c:v>
                </c:pt>
                <c:pt idx="2">
                  <c:v>160.48500000000001</c:v>
                </c:pt>
                <c:pt idx="3">
                  <c:v>152.749</c:v>
                </c:pt>
                <c:pt idx="4">
                  <c:v>155.35900000000001</c:v>
                </c:pt>
                <c:pt idx="5">
                  <c:v>184.529</c:v>
                </c:pt>
                <c:pt idx="6">
                  <c:v>159.459</c:v>
                </c:pt>
                <c:pt idx="7">
                  <c:v>158.24799999999999</c:v>
                </c:pt>
                <c:pt idx="8">
                  <c:v>171.202</c:v>
                </c:pt>
                <c:pt idx="9">
                  <c:v>170.084</c:v>
                </c:pt>
                <c:pt idx="10">
                  <c:v>178.09899999999999</c:v>
                </c:pt>
                <c:pt idx="11">
                  <c:v>172.227</c:v>
                </c:pt>
                <c:pt idx="12">
                  <c:v>179.404</c:v>
                </c:pt>
                <c:pt idx="13">
                  <c:v>174.744</c:v>
                </c:pt>
                <c:pt idx="14">
                  <c:v>184.90199999999999</c:v>
                </c:pt>
                <c:pt idx="15">
                  <c:v>179.59</c:v>
                </c:pt>
                <c:pt idx="16">
                  <c:v>180.149</c:v>
                </c:pt>
                <c:pt idx="17">
                  <c:v>174.744</c:v>
                </c:pt>
                <c:pt idx="18">
                  <c:v>184.995</c:v>
                </c:pt>
                <c:pt idx="19">
                  <c:v>168.59299999999999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9DA-4D13-890B-C1525E5F1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080112"/>
        <c:axId val="1299086640"/>
      </c:lineChart>
      <c:catAx>
        <c:axId val="129908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위치 </a:t>
                </a:r>
                <a:r>
                  <a:rPr lang="en-US" altLang="ko-KR"/>
                  <a:t>- </a:t>
                </a:r>
                <a:r>
                  <a:rPr lang="ko-KR" altLang="en-US"/>
                  <a:t>작업일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9086640"/>
        <c:crosses val="autoZero"/>
        <c:auto val="1"/>
        <c:lblAlgn val="ctr"/>
        <c:lblOffset val="100"/>
        <c:noMultiLvlLbl val="0"/>
      </c:catAx>
      <c:valAx>
        <c:axId val="1299086640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압연부하</a:t>
                </a:r>
                <a:r>
                  <a:rPr lang="en-US" altLang="ko-KR"/>
                  <a:t>(Current)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9080112"/>
        <c:crosses val="autoZero"/>
        <c:crossBetween val="between"/>
      </c:valAx>
      <c:valAx>
        <c:axId val="1299087728"/>
        <c:scaling>
          <c:orientation val="minMax"/>
          <c:max val="200"/>
          <c:min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부하시간</a:t>
                </a:r>
                <a:r>
                  <a:rPr lang="en-US" altLang="ko-KR"/>
                  <a:t>(</a:t>
                </a:r>
                <a:r>
                  <a:rPr lang="ko-KR" altLang="en-US"/>
                  <a:t>초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9088272"/>
        <c:crosses val="max"/>
        <c:crossBetween val="between"/>
      </c:valAx>
      <c:catAx>
        <c:axId val="1299088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90877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838192620894683"/>
          <c:y val="4.1618777576025986E-2"/>
          <c:w val="0.16443995745912748"/>
          <c:h val="8.693244840827270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Sheet3!$AM$1</c:f>
              <c:strCache>
                <c:ptCount val="1"/>
                <c:pt idx="0">
                  <c:v>Door_open-5P종료시간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Sheet3!$M$2:$M$21</c:f>
              <c:strCache>
                <c:ptCount val="20"/>
                <c:pt idx="0">
                  <c:v>U1-9일</c:v>
                </c:pt>
                <c:pt idx="1">
                  <c:v>U2-9일</c:v>
                </c:pt>
                <c:pt idx="2">
                  <c:v>U3-9일</c:v>
                </c:pt>
                <c:pt idx="3">
                  <c:v>U4-9일</c:v>
                </c:pt>
                <c:pt idx="4">
                  <c:v>U5-9일</c:v>
                </c:pt>
                <c:pt idx="5">
                  <c:v>D1-9일</c:v>
                </c:pt>
                <c:pt idx="6">
                  <c:v>D2-9일</c:v>
                </c:pt>
                <c:pt idx="7">
                  <c:v>D3-9일</c:v>
                </c:pt>
                <c:pt idx="8">
                  <c:v>D4-9일</c:v>
                </c:pt>
                <c:pt idx="9">
                  <c:v>D5-9일</c:v>
                </c:pt>
                <c:pt idx="10">
                  <c:v>U1-15일</c:v>
                </c:pt>
                <c:pt idx="11">
                  <c:v>U2-15일</c:v>
                </c:pt>
                <c:pt idx="12">
                  <c:v>U3-15일</c:v>
                </c:pt>
                <c:pt idx="13">
                  <c:v>U4-15일</c:v>
                </c:pt>
                <c:pt idx="14">
                  <c:v>U5-15일</c:v>
                </c:pt>
                <c:pt idx="15">
                  <c:v>D1-15일</c:v>
                </c:pt>
                <c:pt idx="16">
                  <c:v>D2-15일</c:v>
                </c:pt>
                <c:pt idx="17">
                  <c:v>D3-15일</c:v>
                </c:pt>
                <c:pt idx="18">
                  <c:v>D4-15일</c:v>
                </c:pt>
                <c:pt idx="19">
                  <c:v>D5-15일</c:v>
                </c:pt>
              </c:strCache>
            </c:strRef>
          </c:cat>
          <c:val>
            <c:numRef>
              <c:f>Sheet3!$AM$2:$AM$21</c:f>
              <c:numCache>
                <c:formatCode>_-* #,##0.0_-;\-* #,##0.0_-;_-* "-"_-;_-@_-</c:formatCode>
                <c:ptCount val="20"/>
                <c:pt idx="0">
                  <c:v>135.19999999999999</c:v>
                </c:pt>
                <c:pt idx="1">
                  <c:v>127.5</c:v>
                </c:pt>
                <c:pt idx="2">
                  <c:v>129.30000000000001</c:v>
                </c:pt>
                <c:pt idx="3">
                  <c:v>128.30000000000001</c:v>
                </c:pt>
                <c:pt idx="4">
                  <c:v>121</c:v>
                </c:pt>
                <c:pt idx="5">
                  <c:v>172.1</c:v>
                </c:pt>
                <c:pt idx="6">
                  <c:v>163.5</c:v>
                </c:pt>
                <c:pt idx="7">
                  <c:v>153.6</c:v>
                </c:pt>
                <c:pt idx="8">
                  <c:v>150.5</c:v>
                </c:pt>
                <c:pt idx="9">
                  <c:v>145.1</c:v>
                </c:pt>
                <c:pt idx="10">
                  <c:v>146.1</c:v>
                </c:pt>
                <c:pt idx="11">
                  <c:v>136.30000000000001</c:v>
                </c:pt>
                <c:pt idx="12">
                  <c:v>135.80000000000001</c:v>
                </c:pt>
                <c:pt idx="13">
                  <c:v>131.80000000000001</c:v>
                </c:pt>
                <c:pt idx="14">
                  <c:v>133.5</c:v>
                </c:pt>
                <c:pt idx="15">
                  <c:v>127.8</c:v>
                </c:pt>
                <c:pt idx="16">
                  <c:v>124.5</c:v>
                </c:pt>
                <c:pt idx="17">
                  <c:v>131.4</c:v>
                </c:pt>
                <c:pt idx="18">
                  <c:v>278.5</c:v>
                </c:pt>
                <c:pt idx="19">
                  <c:v>105.3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A-42D2-863E-49B390622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299075760"/>
        <c:axId val="1299075216"/>
      </c:barChart>
      <c:lineChart>
        <c:grouping val="standard"/>
        <c:varyColors val="0"/>
        <c:ser>
          <c:idx val="0"/>
          <c:order val="0"/>
          <c:tx>
            <c:strRef>
              <c:f>Sheet3!$V$1</c:f>
              <c:strCache>
                <c:ptCount val="1"/>
                <c:pt idx="0">
                  <c:v>Max cur_5P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square"/>
            <c:size val="12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Sheet3!$M$2:$M$21</c:f>
              <c:strCache>
                <c:ptCount val="20"/>
                <c:pt idx="0">
                  <c:v>U1-9일</c:v>
                </c:pt>
                <c:pt idx="1">
                  <c:v>U2-9일</c:v>
                </c:pt>
                <c:pt idx="2">
                  <c:v>U3-9일</c:v>
                </c:pt>
                <c:pt idx="3">
                  <c:v>U4-9일</c:v>
                </c:pt>
                <c:pt idx="4">
                  <c:v>U5-9일</c:v>
                </c:pt>
                <c:pt idx="5">
                  <c:v>D1-9일</c:v>
                </c:pt>
                <c:pt idx="6">
                  <c:v>D2-9일</c:v>
                </c:pt>
                <c:pt idx="7">
                  <c:v>D3-9일</c:v>
                </c:pt>
                <c:pt idx="8">
                  <c:v>D4-9일</c:v>
                </c:pt>
                <c:pt idx="9">
                  <c:v>D5-9일</c:v>
                </c:pt>
                <c:pt idx="10">
                  <c:v>U1-15일</c:v>
                </c:pt>
                <c:pt idx="11">
                  <c:v>U2-15일</c:v>
                </c:pt>
                <c:pt idx="12">
                  <c:v>U3-15일</c:v>
                </c:pt>
                <c:pt idx="13">
                  <c:v>U4-15일</c:v>
                </c:pt>
                <c:pt idx="14">
                  <c:v>U5-15일</c:v>
                </c:pt>
                <c:pt idx="15">
                  <c:v>D1-15일</c:v>
                </c:pt>
                <c:pt idx="16">
                  <c:v>D2-15일</c:v>
                </c:pt>
                <c:pt idx="17">
                  <c:v>D3-15일</c:v>
                </c:pt>
                <c:pt idx="18">
                  <c:v>D4-15일</c:v>
                </c:pt>
                <c:pt idx="19">
                  <c:v>D5-15일</c:v>
                </c:pt>
              </c:strCache>
            </c:strRef>
          </c:cat>
          <c:val>
            <c:numRef>
              <c:f>Sheet3!$V$2:$V$21</c:f>
              <c:numCache>
                <c:formatCode>_(* #,##0_);_(* \(#,##0\);_(* "-"_);_(@_)</c:formatCode>
                <c:ptCount val="20"/>
                <c:pt idx="0">
                  <c:v>127.866</c:v>
                </c:pt>
                <c:pt idx="1">
                  <c:v>129.82300000000001</c:v>
                </c:pt>
                <c:pt idx="2">
                  <c:v>128.239</c:v>
                </c:pt>
                <c:pt idx="3">
                  <c:v>122.554</c:v>
                </c:pt>
                <c:pt idx="4">
                  <c:v>120.596</c:v>
                </c:pt>
                <c:pt idx="5">
                  <c:v>131.87299999999999</c:v>
                </c:pt>
                <c:pt idx="6">
                  <c:v>153.215</c:v>
                </c:pt>
                <c:pt idx="7">
                  <c:v>126.747</c:v>
                </c:pt>
                <c:pt idx="8">
                  <c:v>133.92400000000001</c:v>
                </c:pt>
                <c:pt idx="9">
                  <c:v>132.15299999999999</c:v>
                </c:pt>
                <c:pt idx="10">
                  <c:v>124.884</c:v>
                </c:pt>
                <c:pt idx="11">
                  <c:v>121.994</c:v>
                </c:pt>
                <c:pt idx="12">
                  <c:v>121.435</c:v>
                </c:pt>
                <c:pt idx="13">
                  <c:v>123.113</c:v>
                </c:pt>
                <c:pt idx="14">
                  <c:v>123.672</c:v>
                </c:pt>
                <c:pt idx="15">
                  <c:v>128.98400000000001</c:v>
                </c:pt>
                <c:pt idx="16">
                  <c:v>128.239</c:v>
                </c:pt>
                <c:pt idx="17">
                  <c:v>129.26400000000001</c:v>
                </c:pt>
                <c:pt idx="18">
                  <c:v>148.46199999999999</c:v>
                </c:pt>
                <c:pt idx="19">
                  <c:v>121.901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5A-42D2-863E-49B390622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089360"/>
        <c:axId val="1299089904"/>
      </c:lineChart>
      <c:catAx>
        <c:axId val="1299089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위치 </a:t>
                </a:r>
                <a:r>
                  <a:rPr lang="en-US" altLang="ko-KR"/>
                  <a:t>- </a:t>
                </a:r>
                <a:r>
                  <a:rPr lang="ko-KR" altLang="en-US"/>
                  <a:t>작업일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9089904"/>
        <c:crosses val="autoZero"/>
        <c:auto val="1"/>
        <c:lblAlgn val="ctr"/>
        <c:lblOffset val="100"/>
        <c:noMultiLvlLbl val="0"/>
      </c:catAx>
      <c:valAx>
        <c:axId val="1299089904"/>
        <c:scaling>
          <c:orientation val="minMax"/>
          <c:max val="19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압연부하</a:t>
                </a:r>
                <a:r>
                  <a:rPr lang="en-US" altLang="ko-KR"/>
                  <a:t>(Current)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9089360"/>
        <c:crosses val="autoZero"/>
        <c:crossBetween val="between"/>
      </c:valAx>
      <c:valAx>
        <c:axId val="1299075216"/>
        <c:scaling>
          <c:orientation val="minMax"/>
          <c:max val="200"/>
          <c:min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부하시간</a:t>
                </a:r>
                <a:r>
                  <a:rPr lang="en-US" altLang="ko-KR"/>
                  <a:t>(</a:t>
                </a:r>
                <a:r>
                  <a:rPr lang="ko-KR" altLang="en-US"/>
                  <a:t>초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-* #,##0.0_-;\-* #,##0.0_-;_-* &quot;-&quot;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9075760"/>
        <c:crosses val="max"/>
        <c:crossBetween val="between"/>
      </c:valAx>
      <c:catAx>
        <c:axId val="12990757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9075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022447749971706"/>
          <c:y val="4.1618777576025952E-2"/>
          <c:w val="0.14049989145213124"/>
          <c:h val="8.693244840827270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Sheet3!$AP$1</c:f>
              <c:strCache>
                <c:ptCount val="1"/>
                <c:pt idx="0">
                  <c:v>Door_open-7P_Max부하시간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EC-4030-B10B-FA43034E1A8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EC-4030-B10B-FA43034E1A8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EC-4030-B10B-FA43034E1A8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8EC-4030-B10B-FA43034E1A8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8EC-4030-B10B-FA43034E1A8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8EC-4030-B10B-FA43034E1A8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8EC-4030-B10B-FA43034E1A8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8EC-4030-B10B-FA43034E1A8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8EC-4030-B10B-FA43034E1A8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8EC-4030-B10B-FA43034E1A8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Sheet3!$M$2:$M$21</c:f>
              <c:strCache>
                <c:ptCount val="20"/>
                <c:pt idx="0">
                  <c:v>U1-9일</c:v>
                </c:pt>
                <c:pt idx="1">
                  <c:v>U2-9일</c:v>
                </c:pt>
                <c:pt idx="2">
                  <c:v>U3-9일</c:v>
                </c:pt>
                <c:pt idx="3">
                  <c:v>U4-9일</c:v>
                </c:pt>
                <c:pt idx="4">
                  <c:v>U5-9일</c:v>
                </c:pt>
                <c:pt idx="5">
                  <c:v>D1-9일</c:v>
                </c:pt>
                <c:pt idx="6">
                  <c:v>D2-9일</c:v>
                </c:pt>
                <c:pt idx="7">
                  <c:v>D3-9일</c:v>
                </c:pt>
                <c:pt idx="8">
                  <c:v>D4-9일</c:v>
                </c:pt>
                <c:pt idx="9">
                  <c:v>D5-9일</c:v>
                </c:pt>
                <c:pt idx="10">
                  <c:v>U1-15일</c:v>
                </c:pt>
                <c:pt idx="11">
                  <c:v>U2-15일</c:v>
                </c:pt>
                <c:pt idx="12">
                  <c:v>U3-15일</c:v>
                </c:pt>
                <c:pt idx="13">
                  <c:v>U4-15일</c:v>
                </c:pt>
                <c:pt idx="14">
                  <c:v>U5-15일</c:v>
                </c:pt>
                <c:pt idx="15">
                  <c:v>D1-15일</c:v>
                </c:pt>
                <c:pt idx="16">
                  <c:v>D2-15일</c:v>
                </c:pt>
                <c:pt idx="17">
                  <c:v>D3-15일</c:v>
                </c:pt>
                <c:pt idx="18">
                  <c:v>D4-15일</c:v>
                </c:pt>
                <c:pt idx="19">
                  <c:v>D5-15일</c:v>
                </c:pt>
              </c:strCache>
            </c:strRef>
          </c:cat>
          <c:val>
            <c:numRef>
              <c:f>Sheet3!$AP$2:$AP$21</c:f>
              <c:numCache>
                <c:formatCode>_(* #,##0_);_(* \(#,##0\);_(* "-"_);_(@_)</c:formatCode>
                <c:ptCount val="20"/>
                <c:pt idx="0">
                  <c:v>152</c:v>
                </c:pt>
                <c:pt idx="1">
                  <c:v>144</c:v>
                </c:pt>
                <c:pt idx="2">
                  <c:v>145</c:v>
                </c:pt>
                <c:pt idx="3">
                  <c:v>145</c:v>
                </c:pt>
                <c:pt idx="4">
                  <c:v>138</c:v>
                </c:pt>
                <c:pt idx="5">
                  <c:v>196</c:v>
                </c:pt>
                <c:pt idx="6">
                  <c:v>190</c:v>
                </c:pt>
                <c:pt idx="7">
                  <c:v>173</c:v>
                </c:pt>
                <c:pt idx="8">
                  <c:v>171</c:v>
                </c:pt>
                <c:pt idx="9">
                  <c:v>167</c:v>
                </c:pt>
                <c:pt idx="10">
                  <c:v>176</c:v>
                </c:pt>
                <c:pt idx="11">
                  <c:v>165</c:v>
                </c:pt>
                <c:pt idx="12">
                  <c:v>166</c:v>
                </c:pt>
                <c:pt idx="13">
                  <c:v>162</c:v>
                </c:pt>
                <c:pt idx="14">
                  <c:v>164</c:v>
                </c:pt>
                <c:pt idx="15">
                  <c:v>159</c:v>
                </c:pt>
                <c:pt idx="16">
                  <c:v>155</c:v>
                </c:pt>
                <c:pt idx="17">
                  <c:v>162</c:v>
                </c:pt>
                <c:pt idx="18">
                  <c:v>343</c:v>
                </c:pt>
                <c:pt idx="19">
                  <c:v>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8EC-4030-B10B-FA43034E1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91823744"/>
        <c:axId val="991823200"/>
      </c:barChart>
      <c:lineChart>
        <c:grouping val="standard"/>
        <c:varyColors val="0"/>
        <c:ser>
          <c:idx val="0"/>
          <c:order val="0"/>
          <c:tx>
            <c:strRef>
              <c:f>Sheet3!$AB$1</c:f>
              <c:strCache>
                <c:ptCount val="1"/>
                <c:pt idx="0">
                  <c:v>Max cur_7P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square"/>
            <c:size val="12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Sheet3!$M$2:$M$21</c:f>
              <c:strCache>
                <c:ptCount val="20"/>
                <c:pt idx="0">
                  <c:v>U1-9일</c:v>
                </c:pt>
                <c:pt idx="1">
                  <c:v>U2-9일</c:v>
                </c:pt>
                <c:pt idx="2">
                  <c:v>U3-9일</c:v>
                </c:pt>
                <c:pt idx="3">
                  <c:v>U4-9일</c:v>
                </c:pt>
                <c:pt idx="4">
                  <c:v>U5-9일</c:v>
                </c:pt>
                <c:pt idx="5">
                  <c:v>D1-9일</c:v>
                </c:pt>
                <c:pt idx="6">
                  <c:v>D2-9일</c:v>
                </c:pt>
                <c:pt idx="7">
                  <c:v>D3-9일</c:v>
                </c:pt>
                <c:pt idx="8">
                  <c:v>D4-9일</c:v>
                </c:pt>
                <c:pt idx="9">
                  <c:v>D5-9일</c:v>
                </c:pt>
                <c:pt idx="10">
                  <c:v>U1-15일</c:v>
                </c:pt>
                <c:pt idx="11">
                  <c:v>U2-15일</c:v>
                </c:pt>
                <c:pt idx="12">
                  <c:v>U3-15일</c:v>
                </c:pt>
                <c:pt idx="13">
                  <c:v>U4-15일</c:v>
                </c:pt>
                <c:pt idx="14">
                  <c:v>U5-15일</c:v>
                </c:pt>
                <c:pt idx="15">
                  <c:v>D1-15일</c:v>
                </c:pt>
                <c:pt idx="16">
                  <c:v>D2-15일</c:v>
                </c:pt>
                <c:pt idx="17">
                  <c:v>D3-15일</c:v>
                </c:pt>
                <c:pt idx="18">
                  <c:v>D4-15일</c:v>
                </c:pt>
                <c:pt idx="19">
                  <c:v>D5-15일</c:v>
                </c:pt>
              </c:strCache>
            </c:strRef>
          </c:cat>
          <c:val>
            <c:numRef>
              <c:f>Sheet3!$AB$2:$AB$21</c:f>
              <c:numCache>
                <c:formatCode>_(* #,##0_);_(* \(#,##0\);_(* "-"_);_(@_)</c:formatCode>
                <c:ptCount val="20"/>
                <c:pt idx="0">
                  <c:v>165.797</c:v>
                </c:pt>
                <c:pt idx="1">
                  <c:v>160.20500000000001</c:v>
                </c:pt>
                <c:pt idx="2">
                  <c:v>159.36600000000001</c:v>
                </c:pt>
                <c:pt idx="3">
                  <c:v>155.26599999999999</c:v>
                </c:pt>
                <c:pt idx="4">
                  <c:v>149.11500000000001</c:v>
                </c:pt>
                <c:pt idx="5">
                  <c:v>168.96600000000001</c:v>
                </c:pt>
                <c:pt idx="6">
                  <c:v>163.46700000000001</c:v>
                </c:pt>
                <c:pt idx="7">
                  <c:v>163.09399999999999</c:v>
                </c:pt>
                <c:pt idx="8">
                  <c:v>186.20699999999999</c:v>
                </c:pt>
                <c:pt idx="9">
                  <c:v>177.81899999999999</c:v>
                </c:pt>
                <c:pt idx="10">
                  <c:v>164.02600000000001</c:v>
                </c:pt>
                <c:pt idx="11">
                  <c:v>159.459</c:v>
                </c:pt>
                <c:pt idx="12">
                  <c:v>158.99299999999999</c:v>
                </c:pt>
                <c:pt idx="13">
                  <c:v>161.51</c:v>
                </c:pt>
                <c:pt idx="14">
                  <c:v>163.28100000000001</c:v>
                </c:pt>
                <c:pt idx="15">
                  <c:v>169.804</c:v>
                </c:pt>
                <c:pt idx="16">
                  <c:v>169.059</c:v>
                </c:pt>
                <c:pt idx="17">
                  <c:v>170.55</c:v>
                </c:pt>
                <c:pt idx="18">
                  <c:v>184.529</c:v>
                </c:pt>
                <c:pt idx="19">
                  <c:v>162.62799999999999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8EC-4030-B10B-FA43034E1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818848"/>
        <c:axId val="991822656"/>
      </c:lineChart>
      <c:catAx>
        <c:axId val="99181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위치 </a:t>
                </a:r>
                <a:r>
                  <a:rPr lang="en-US" altLang="ko-KR"/>
                  <a:t>- </a:t>
                </a:r>
                <a:r>
                  <a:rPr lang="ko-KR" altLang="en-US"/>
                  <a:t>작업일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91822656"/>
        <c:crosses val="autoZero"/>
        <c:auto val="1"/>
        <c:lblAlgn val="ctr"/>
        <c:lblOffset val="100"/>
        <c:noMultiLvlLbl val="0"/>
      </c:catAx>
      <c:valAx>
        <c:axId val="991822656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압연부하</a:t>
                </a:r>
                <a:r>
                  <a:rPr lang="en-US" altLang="ko-KR"/>
                  <a:t>(Current)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91818848"/>
        <c:crosses val="autoZero"/>
        <c:crossBetween val="between"/>
      </c:valAx>
      <c:valAx>
        <c:axId val="991823200"/>
        <c:scaling>
          <c:orientation val="minMax"/>
          <c:max val="200"/>
          <c:min val="10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부하시간</a:t>
                </a:r>
                <a:r>
                  <a:rPr lang="en-US" altLang="ko-KR"/>
                  <a:t>(</a:t>
                </a:r>
                <a:r>
                  <a:rPr lang="ko-KR" altLang="en-US"/>
                  <a:t>초</a:t>
                </a:r>
                <a:r>
                  <a:rPr lang="en-US" altLang="ko-KR"/>
                  <a:t>)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91823744"/>
        <c:crosses val="max"/>
        <c:crossBetween val="between"/>
      </c:valAx>
      <c:catAx>
        <c:axId val="991823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91823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94473731004805"/>
          <c:y val="3.8967261712758154E-2"/>
          <c:w val="0.16377889015210201"/>
          <c:h val="8.94892867276181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하부소재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8"/>
            <c:spPr>
              <a:solidFill>
                <a:srgbClr val="00B050"/>
              </a:solidFill>
              <a:ln w="19050">
                <a:solidFill>
                  <a:schemeClr val="bg1"/>
                </a:solidFill>
                <a:round/>
              </a:ln>
              <a:effectLst/>
            </c:spPr>
          </c:marker>
          <c:dPt>
            <c:idx val="5"/>
            <c:marker>
              <c:symbol val="square"/>
              <c:size val="8"/>
              <c:spPr>
                <a:solidFill>
                  <a:srgbClr val="00B050"/>
                </a:solidFill>
                <a:ln w="19050">
                  <a:solidFill>
                    <a:schemeClr val="bg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9DA-4D13-890B-C1525E5F10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rgbClr val="00B050"/>
                </a:solidFill>
                <a:prstDash val="sysDash"/>
                <a:tailEnd type="arrow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2331414392034604E-2"/>
                  <c:y val="0.102754905247590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(Sheet3!$AN$7:$AN$11,Sheet3!$AN$17:$AN$21)</c:f>
              <c:numCache>
                <c:formatCode>_(* #,##0_);_(* \(#,##0\);_(* "-"_);_(@_)</c:formatCode>
                <c:ptCount val="10"/>
                <c:pt idx="0">
                  <c:v>180</c:v>
                </c:pt>
                <c:pt idx="1">
                  <c:v>170</c:v>
                </c:pt>
                <c:pt idx="2">
                  <c:v>161</c:v>
                </c:pt>
                <c:pt idx="3">
                  <c:v>158</c:v>
                </c:pt>
                <c:pt idx="4">
                  <c:v>155</c:v>
                </c:pt>
                <c:pt idx="5">
                  <c:v>141</c:v>
                </c:pt>
                <c:pt idx="6">
                  <c:v>137</c:v>
                </c:pt>
                <c:pt idx="7">
                  <c:v>144</c:v>
                </c:pt>
                <c:pt idx="8">
                  <c:v>317</c:v>
                </c:pt>
                <c:pt idx="9">
                  <c:v>120</c:v>
                </c:pt>
              </c:numCache>
            </c:numRef>
          </c:xVal>
          <c:yVal>
            <c:numRef>
              <c:f>(Sheet3!$Y$7:$Y$11,Sheet3!$Y$17:$Y$21)</c:f>
              <c:numCache>
                <c:formatCode>_(* #,##0_);_(* \(#,##0\);_(* "-"_);_(@_)</c:formatCode>
                <c:ptCount val="10"/>
                <c:pt idx="0">
                  <c:v>184.529</c:v>
                </c:pt>
                <c:pt idx="1">
                  <c:v>159.459</c:v>
                </c:pt>
                <c:pt idx="2">
                  <c:v>158.24799999999999</c:v>
                </c:pt>
                <c:pt idx="3">
                  <c:v>171.202</c:v>
                </c:pt>
                <c:pt idx="4">
                  <c:v>170.084</c:v>
                </c:pt>
                <c:pt idx="5">
                  <c:v>179.59</c:v>
                </c:pt>
                <c:pt idx="6">
                  <c:v>180.149</c:v>
                </c:pt>
                <c:pt idx="7">
                  <c:v>174.744</c:v>
                </c:pt>
                <c:pt idx="8">
                  <c:v>184.995</c:v>
                </c:pt>
                <c:pt idx="9">
                  <c:v>168.59299999999999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D9DA-4D13-890B-C1525E5F10B9}"/>
            </c:ext>
          </c:extLst>
        </c:ser>
        <c:ser>
          <c:idx val="0"/>
          <c:order val="1"/>
          <c:tx>
            <c:v>상부소재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9"/>
            <c:spPr>
              <a:solidFill>
                <a:srgbClr val="00B0F0"/>
              </a:solidFill>
              <a:ln w="44450">
                <a:noFill/>
                <a:round/>
              </a:ln>
              <a:effectLst/>
            </c:spPr>
          </c:marker>
          <c:dPt>
            <c:idx val="5"/>
            <c:marker>
              <c:symbol val="circle"/>
              <c:size val="9"/>
              <c:spPr>
                <a:solidFill>
                  <a:srgbClr val="00B0F0"/>
                </a:solidFill>
                <a:ln w="44450">
                  <a:noFill/>
                  <a:round/>
                </a:ln>
                <a:effectLst/>
              </c:spPr>
            </c:marker>
            <c:bubble3D val="0"/>
            <c:spPr>
              <a:ln w="254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D9DA-4D13-890B-C1525E5F10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trendline>
            <c:spPr>
              <a:ln w="9525" cap="rnd">
                <a:solidFill>
                  <a:srgbClr val="00B0F0"/>
                </a:solidFill>
                <a:prstDash val="dash"/>
                <a:tailEnd type="arrow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6475407631543161E-3"/>
                  <c:y val="-1.90283631543262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(Sheet3!$AN$2:$AN$6,Sheet3!$AN$12:$AN$16)</c:f>
              <c:numCache>
                <c:formatCode>_(* #,##0_);_(* \(#,##0\);_(* "-"_);_(@_)</c:formatCode>
                <c:ptCount val="10"/>
                <c:pt idx="0">
                  <c:v>143</c:v>
                </c:pt>
                <c:pt idx="1">
                  <c:v>135</c:v>
                </c:pt>
                <c:pt idx="2">
                  <c:v>136</c:v>
                </c:pt>
                <c:pt idx="3">
                  <c:v>136</c:v>
                </c:pt>
                <c:pt idx="4">
                  <c:v>129</c:v>
                </c:pt>
                <c:pt idx="5">
                  <c:v>159</c:v>
                </c:pt>
                <c:pt idx="6">
                  <c:v>148</c:v>
                </c:pt>
                <c:pt idx="7">
                  <c:v>148</c:v>
                </c:pt>
                <c:pt idx="8">
                  <c:v>144</c:v>
                </c:pt>
                <c:pt idx="9">
                  <c:v>146</c:v>
                </c:pt>
              </c:numCache>
            </c:numRef>
          </c:xVal>
          <c:yVal>
            <c:numRef>
              <c:f>(Sheet3!$Y$2:$Y$6,Sheet3!$Y$12:$Y$16)</c:f>
              <c:numCache>
                <c:formatCode>_(* #,##0_);_(* \(#,##0\);_(* "-"_);_(@_)</c:formatCode>
                <c:ptCount val="10"/>
                <c:pt idx="0">
                  <c:v>178.37799999999999</c:v>
                </c:pt>
                <c:pt idx="1">
                  <c:v>159.739</c:v>
                </c:pt>
                <c:pt idx="2">
                  <c:v>160.48500000000001</c:v>
                </c:pt>
                <c:pt idx="3">
                  <c:v>152.749</c:v>
                </c:pt>
                <c:pt idx="4">
                  <c:v>155.35900000000001</c:v>
                </c:pt>
                <c:pt idx="5">
                  <c:v>178.09899999999999</c:v>
                </c:pt>
                <c:pt idx="6">
                  <c:v>172.227</c:v>
                </c:pt>
                <c:pt idx="7">
                  <c:v>179.404</c:v>
                </c:pt>
                <c:pt idx="8">
                  <c:v>174.744</c:v>
                </c:pt>
                <c:pt idx="9">
                  <c:v>184.90199999999999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D9DA-4D13-890B-C1525E5F1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088272"/>
        <c:axId val="1299087728"/>
      </c:scatterChart>
      <c:valAx>
        <c:axId val="1299087728"/>
        <c:scaling>
          <c:orientation val="minMax"/>
          <c:max val="200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cs"/>
                  </a:defRPr>
                </a:pPr>
                <a:r>
                  <a:rPr lang="ko-KR" altLang="en-US" sz="1200">
                    <a:latin typeface="+mn-ea"/>
                    <a:ea typeface="+mn-ea"/>
                  </a:rPr>
                  <a:t>압연부하</a:t>
                </a:r>
                <a:r>
                  <a:rPr lang="en-US" sz="1200">
                    <a:latin typeface="+mn-ea"/>
                    <a:ea typeface="+mn-ea"/>
                  </a:rPr>
                  <a:t>(%)</a:t>
                </a:r>
                <a:endParaRPr lang="ko-KR" sz="1200">
                  <a:latin typeface="+mn-ea"/>
                  <a:ea typeface="+mn-ea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ea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9088272"/>
        <c:crosses val="autoZero"/>
        <c:crossBetween val="midCat"/>
      </c:valAx>
      <c:valAx>
        <c:axId val="1299088272"/>
        <c:scaling>
          <c:orientation val="minMax"/>
          <c:max val="180"/>
          <c:min val="12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2"/>
                    </a:solidFill>
                    <a:latin typeface="+mn-ea"/>
                    <a:ea typeface="+mn-ea"/>
                    <a:cs typeface="+mn-cs"/>
                  </a:defRPr>
                </a:pPr>
                <a:r>
                  <a:rPr lang="ko-KR" altLang="en-US" sz="1200">
                    <a:latin typeface="+mn-ea"/>
                    <a:ea typeface="+mn-ea"/>
                  </a:rPr>
                  <a:t>추출 후 </a:t>
                </a:r>
                <a:r>
                  <a:rPr lang="en-US" altLang="ko-KR" sz="1200">
                    <a:latin typeface="+mn-ea"/>
                    <a:ea typeface="+mn-ea"/>
                  </a:rPr>
                  <a:t>6pass </a:t>
                </a:r>
                <a:r>
                  <a:rPr lang="ko-KR" altLang="en-US" sz="1200">
                    <a:latin typeface="+mn-ea"/>
                    <a:ea typeface="+mn-ea"/>
                  </a:rPr>
                  <a:t>도달시간</a:t>
                </a:r>
                <a:r>
                  <a:rPr lang="en-US" altLang="ko-KR" sz="1200">
                    <a:latin typeface="+mn-ea"/>
                    <a:ea typeface="+mn-ea"/>
                  </a:rPr>
                  <a:t>(</a:t>
                </a:r>
                <a:r>
                  <a:rPr lang="ko-KR" altLang="en-US" sz="1200">
                    <a:latin typeface="+mn-ea"/>
                    <a:ea typeface="+mn-ea"/>
                  </a:rPr>
                  <a:t>초</a:t>
                </a:r>
                <a:r>
                  <a:rPr lang="en-US" altLang="ko-KR" sz="1200">
                    <a:latin typeface="+mn-ea"/>
                    <a:ea typeface="+mn-ea"/>
                  </a:rPr>
                  <a:t>)</a:t>
                </a:r>
                <a:endParaRPr lang="ko-KR" altLang="en-US" sz="1200">
                  <a:latin typeface="+mn-ea"/>
                  <a:ea typeface="+mn-ea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2"/>
                  </a:solidFill>
                  <a:latin typeface="+mn-ea"/>
                  <a:ea typeface="+mn-ea"/>
                  <a:cs typeface="+mn-cs"/>
                </a:defRPr>
              </a:pPr>
              <a:endParaRPr lang="ko-KR"/>
            </a:p>
          </c:txPr>
        </c:title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9087728"/>
        <c:crosses val="autoZero"/>
        <c:crossBetween val="midCat"/>
      </c:valAx>
      <c:spPr>
        <a:noFill/>
        <a:ln>
          <a:solidFill>
            <a:schemeClr val="bg1"/>
          </a:solidFill>
        </a:ln>
        <a:effectLst/>
      </c:spPr>
    </c:plotArea>
    <c:legend>
      <c:legendPos val="t"/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57630</xdr:colOff>
      <xdr:row>21</xdr:row>
      <xdr:rowOff>130629</xdr:rowOff>
    </xdr:from>
    <xdr:to>
      <xdr:col>33</xdr:col>
      <xdr:colOff>1091773</xdr:colOff>
      <xdr:row>43</xdr:row>
      <xdr:rowOff>130628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130628</xdr:colOff>
      <xdr:row>21</xdr:row>
      <xdr:rowOff>87086</xdr:rowOff>
    </xdr:from>
    <xdr:to>
      <xdr:col>21</xdr:col>
      <xdr:colOff>21771</xdr:colOff>
      <xdr:row>43</xdr:row>
      <xdr:rowOff>87085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1295400</xdr:colOff>
      <xdr:row>21</xdr:row>
      <xdr:rowOff>130629</xdr:rowOff>
    </xdr:from>
    <xdr:to>
      <xdr:col>38</xdr:col>
      <xdr:colOff>1676400</xdr:colOff>
      <xdr:row>43</xdr:row>
      <xdr:rowOff>130628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57630</xdr:colOff>
      <xdr:row>44</xdr:row>
      <xdr:rowOff>14088</xdr:rowOff>
    </xdr:from>
    <xdr:to>
      <xdr:col>29</xdr:col>
      <xdr:colOff>328830</xdr:colOff>
      <xdr:row>63</xdr:row>
      <xdr:rowOff>83053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232"/>
  <sheetViews>
    <sheetView showGridLines="0" topLeftCell="E1" zoomScale="65" zoomScaleNormal="65" workbookViewId="0">
      <selection activeCell="P1" sqref="P1:AG1"/>
    </sheetView>
  </sheetViews>
  <sheetFormatPr defaultRowHeight="17.399999999999999" x14ac:dyDescent="0.4"/>
  <cols>
    <col min="1" max="1" width="8.796875" customWidth="1"/>
    <col min="2" max="2" width="11.5" customWidth="1"/>
    <col min="3" max="3" width="11.8984375" customWidth="1"/>
    <col min="4" max="4" width="8.796875" customWidth="1"/>
    <col min="6" max="7" width="8.796875" customWidth="1"/>
    <col min="8" max="8" width="10.8984375" bestFit="1" customWidth="1"/>
    <col min="10" max="10" width="10.8984375" customWidth="1"/>
    <col min="12" max="12" width="8.796875" customWidth="1"/>
    <col min="13" max="13" width="12.796875" customWidth="1"/>
    <col min="14" max="15" width="8.796875" customWidth="1"/>
    <col min="16" max="16" width="13.796875" style="42" customWidth="1"/>
    <col min="17" max="17" width="12" customWidth="1"/>
    <col min="18" max="18" width="8.796875" style="42"/>
    <col min="19" max="19" width="10.796875" style="42" bestFit="1" customWidth="1"/>
    <col min="20" max="20" width="11.59765625" bestFit="1" customWidth="1"/>
    <col min="21" max="21" width="7.5" style="42" bestFit="1" customWidth="1"/>
    <col min="22" max="22" width="10.796875" style="42" bestFit="1" customWidth="1"/>
    <col min="23" max="23" width="11.59765625" bestFit="1" customWidth="1"/>
    <col min="24" max="24" width="7.5" style="42" bestFit="1" customWidth="1"/>
    <col min="25" max="25" width="10.796875" style="42" bestFit="1" customWidth="1"/>
    <col min="26" max="26" width="11.59765625" bestFit="1" customWidth="1"/>
    <col min="27" max="27" width="7.5" style="42" bestFit="1" customWidth="1"/>
    <col min="28" max="28" width="10.796875" style="42" bestFit="1" customWidth="1"/>
    <col min="29" max="29" width="11.59765625" bestFit="1" customWidth="1"/>
    <col min="30" max="30" width="7.5" style="42" bestFit="1" customWidth="1"/>
    <col min="31" max="31" width="10.796875" style="42" bestFit="1" customWidth="1"/>
    <col min="32" max="32" width="11.59765625" bestFit="1" customWidth="1"/>
    <col min="33" max="33" width="7.5" style="42" bestFit="1" customWidth="1"/>
  </cols>
  <sheetData>
    <row r="1" spans="1:36" ht="18" thickBo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20" t="s">
        <v>39</v>
      </c>
      <c r="G1" s="20" t="s">
        <v>5</v>
      </c>
      <c r="H1" s="16" t="s">
        <v>8</v>
      </c>
      <c r="I1" s="16" t="s">
        <v>6</v>
      </c>
      <c r="J1" s="16" t="s">
        <v>7</v>
      </c>
      <c r="K1" s="16" t="s">
        <v>9</v>
      </c>
      <c r="L1" s="17" t="s">
        <v>10</v>
      </c>
      <c r="M1" s="18" t="s">
        <v>73</v>
      </c>
      <c r="N1" s="16" t="s">
        <v>72</v>
      </c>
      <c r="O1" s="19" t="s">
        <v>75</v>
      </c>
      <c r="P1" s="39" t="s">
        <v>343</v>
      </c>
      <c r="Q1" s="16" t="s">
        <v>55</v>
      </c>
      <c r="R1" s="43" t="s">
        <v>56</v>
      </c>
      <c r="S1" s="46" t="s">
        <v>67</v>
      </c>
      <c r="T1" s="16" t="s">
        <v>57</v>
      </c>
      <c r="U1" s="49" t="s">
        <v>58</v>
      </c>
      <c r="V1" s="39" t="s">
        <v>68</v>
      </c>
      <c r="W1" s="16" t="s">
        <v>59</v>
      </c>
      <c r="X1" s="43" t="s">
        <v>60</v>
      </c>
      <c r="Y1" s="46" t="s">
        <v>69</v>
      </c>
      <c r="Z1" s="16" t="s">
        <v>61</v>
      </c>
      <c r="AA1" s="49" t="s">
        <v>62</v>
      </c>
      <c r="AB1" s="39" t="s">
        <v>70</v>
      </c>
      <c r="AC1" s="16" t="s">
        <v>63</v>
      </c>
      <c r="AD1" s="43" t="s">
        <v>64</v>
      </c>
      <c r="AE1" s="46" t="s">
        <v>71</v>
      </c>
      <c r="AF1" s="16" t="s">
        <v>65</v>
      </c>
      <c r="AG1" s="43" t="s">
        <v>66</v>
      </c>
      <c r="AH1" s="56" t="s">
        <v>312</v>
      </c>
      <c r="AI1" s="59" t="s">
        <v>321</v>
      </c>
      <c r="AJ1" s="56" t="s">
        <v>329</v>
      </c>
    </row>
    <row r="2" spans="1:36" x14ac:dyDescent="0.2">
      <c r="A2" s="11">
        <v>1</v>
      </c>
      <c r="B2" s="12" t="s">
        <v>16</v>
      </c>
      <c r="C2" s="12" t="s">
        <v>74</v>
      </c>
      <c r="D2" s="12">
        <v>1</v>
      </c>
      <c r="E2" s="12" t="s">
        <v>17</v>
      </c>
      <c r="F2" s="12" t="s">
        <v>40</v>
      </c>
      <c r="G2" s="12">
        <v>267</v>
      </c>
      <c r="H2" s="12" t="s">
        <v>16</v>
      </c>
      <c r="I2" s="12" t="s">
        <v>29</v>
      </c>
      <c r="J2" s="12" t="s">
        <v>16</v>
      </c>
      <c r="K2" s="12" t="s">
        <v>42</v>
      </c>
      <c r="L2" s="13" t="s">
        <v>11</v>
      </c>
      <c r="M2" s="11"/>
      <c r="N2" s="12"/>
      <c r="O2" s="13" t="s">
        <v>304</v>
      </c>
      <c r="P2" s="21">
        <v>93.010300000000001</v>
      </c>
      <c r="Q2" s="35">
        <v>1.419</v>
      </c>
      <c r="R2" s="22">
        <v>410</v>
      </c>
      <c r="S2" s="23">
        <v>160.48500000000001</v>
      </c>
      <c r="T2" s="35">
        <v>1.4079999999999999</v>
      </c>
      <c r="U2" s="24">
        <v>340</v>
      </c>
      <c r="V2" s="21">
        <v>161.696</v>
      </c>
      <c r="W2" s="35">
        <v>1.4079999999999999</v>
      </c>
      <c r="X2" s="22">
        <v>280</v>
      </c>
      <c r="Y2" s="23">
        <v>182.47900000000001</v>
      </c>
      <c r="Z2" s="35">
        <v>1.5009999999999999</v>
      </c>
      <c r="AA2" s="24">
        <v>210</v>
      </c>
      <c r="AB2" s="21">
        <v>183.411</v>
      </c>
      <c r="AC2" s="35">
        <v>1.5009999999999999</v>
      </c>
      <c r="AD2" s="22">
        <v>143</v>
      </c>
      <c r="AE2" s="23">
        <v>149.767</v>
      </c>
      <c r="AF2" s="35">
        <v>1.621</v>
      </c>
      <c r="AG2" s="22">
        <v>85</v>
      </c>
      <c r="AH2" t="str">
        <f>IF(AG2="","",LEFT(L2,1))</f>
        <v>U</v>
      </c>
      <c r="AI2" s="60" t="s">
        <v>322</v>
      </c>
      <c r="AJ2" s="61" t="str">
        <f>H2&amp;"-"&amp;O2&amp;"-"&amp;F2&amp;"-"&amp;E2</f>
        <v>2025-01-10-7호방-304LDS1-N33305</v>
      </c>
    </row>
    <row r="3" spans="1:36" x14ac:dyDescent="0.25">
      <c r="A3" s="4">
        <v>2</v>
      </c>
      <c r="B3" s="2" t="s">
        <v>16</v>
      </c>
      <c r="C3" s="2" t="s">
        <v>18</v>
      </c>
      <c r="D3" s="2">
        <v>1</v>
      </c>
      <c r="E3" s="2" t="s">
        <v>17</v>
      </c>
      <c r="F3" s="2" t="s">
        <v>40</v>
      </c>
      <c r="G3" s="2">
        <v>267</v>
      </c>
      <c r="H3" s="2" t="s">
        <v>16</v>
      </c>
      <c r="I3" s="2" t="s">
        <v>30</v>
      </c>
      <c r="J3" s="2" t="s">
        <v>16</v>
      </c>
      <c r="K3" s="2" t="s">
        <v>43</v>
      </c>
      <c r="L3" s="5" t="s">
        <v>15</v>
      </c>
      <c r="M3" s="4"/>
      <c r="N3" s="2"/>
      <c r="O3" s="5" t="s">
        <v>304</v>
      </c>
      <c r="P3" s="25">
        <v>103.169</v>
      </c>
      <c r="Q3" s="36">
        <v>1.419</v>
      </c>
      <c r="R3" s="26">
        <v>410</v>
      </c>
      <c r="S3" s="27">
        <v>156.011</v>
      </c>
      <c r="T3" s="36">
        <v>1.4079999999999999</v>
      </c>
      <c r="U3" s="28">
        <v>340</v>
      </c>
      <c r="V3" s="25">
        <v>158.155</v>
      </c>
      <c r="W3" s="36">
        <v>1.4079999999999999</v>
      </c>
      <c r="X3" s="26">
        <v>280</v>
      </c>
      <c r="Y3" s="27">
        <v>171.202</v>
      </c>
      <c r="Z3" s="36">
        <v>1.5009999999999999</v>
      </c>
      <c r="AA3" s="28">
        <v>210</v>
      </c>
      <c r="AB3" s="25">
        <v>175.303</v>
      </c>
      <c r="AC3" s="36">
        <v>1.5009999999999999</v>
      </c>
      <c r="AD3" s="26">
        <v>143</v>
      </c>
      <c r="AE3" s="27">
        <v>149.02099999999999</v>
      </c>
      <c r="AF3" s="36">
        <v>1.621</v>
      </c>
      <c r="AG3" s="26">
        <v>85</v>
      </c>
      <c r="AH3" t="str">
        <f t="shared" ref="AH3:AH65" si="0">IF(AG3="","",LEFT(L3,1))</f>
        <v>U</v>
      </c>
      <c r="AI3" s="62"/>
      <c r="AJ3" s="61" t="str">
        <f t="shared" ref="AJ3:AJ66" si="1">H3&amp;"-"&amp;O3&amp;"-"&amp;F3&amp;"-"&amp;E3</f>
        <v>2025-01-10-7호방-304LDS1-N33305</v>
      </c>
    </row>
    <row r="4" spans="1:36" x14ac:dyDescent="0.25">
      <c r="A4" s="4">
        <v>3</v>
      </c>
      <c r="B4" s="2" t="s">
        <v>16</v>
      </c>
      <c r="C4" s="2" t="s">
        <v>19</v>
      </c>
      <c r="D4" s="2">
        <v>1</v>
      </c>
      <c r="E4" s="2" t="s">
        <v>17</v>
      </c>
      <c r="F4" s="2" t="s">
        <v>40</v>
      </c>
      <c r="G4" s="2">
        <v>270</v>
      </c>
      <c r="H4" s="2" t="s">
        <v>16</v>
      </c>
      <c r="I4" s="2" t="s">
        <v>31</v>
      </c>
      <c r="J4" s="2" t="s">
        <v>16</v>
      </c>
      <c r="K4" s="2" t="s">
        <v>44</v>
      </c>
      <c r="L4" s="5" t="s">
        <v>12</v>
      </c>
      <c r="M4" s="4"/>
      <c r="N4" s="2"/>
      <c r="O4" s="5" t="s">
        <v>304</v>
      </c>
      <c r="P4" s="25">
        <v>63.1873</v>
      </c>
      <c r="Q4" s="36">
        <v>1.397</v>
      </c>
      <c r="R4" s="26">
        <v>410</v>
      </c>
      <c r="S4" s="27">
        <v>159.273</v>
      </c>
      <c r="T4" s="36">
        <v>1.4079999999999999</v>
      </c>
      <c r="U4" s="28">
        <v>340</v>
      </c>
      <c r="V4" s="25">
        <v>143.523</v>
      </c>
      <c r="W4" s="36">
        <v>1.458</v>
      </c>
      <c r="X4" s="26">
        <v>280</v>
      </c>
      <c r="Y4" s="27">
        <v>174.83699999999999</v>
      </c>
      <c r="Z4" s="36">
        <v>1.5009999999999999</v>
      </c>
      <c r="AA4" s="28">
        <v>210</v>
      </c>
      <c r="AB4" s="25">
        <v>163.28100000000001</v>
      </c>
      <c r="AC4" s="36">
        <v>1.548</v>
      </c>
      <c r="AD4" s="26">
        <v>143</v>
      </c>
      <c r="AE4" s="27">
        <v>149.30099999999999</v>
      </c>
      <c r="AF4" s="36">
        <v>1.621</v>
      </c>
      <c r="AG4" s="26">
        <v>85</v>
      </c>
      <c r="AH4" t="str">
        <f t="shared" si="0"/>
        <v>U</v>
      </c>
      <c r="AI4" s="62"/>
      <c r="AJ4" s="61" t="str">
        <f t="shared" si="1"/>
        <v>2025-01-10-7호방-304LDS1-N33305</v>
      </c>
    </row>
    <row r="5" spans="1:36" x14ac:dyDescent="0.25">
      <c r="A5" s="4">
        <v>4</v>
      </c>
      <c r="B5" s="2" t="s">
        <v>16</v>
      </c>
      <c r="C5" s="2" t="s">
        <v>20</v>
      </c>
      <c r="D5" s="2">
        <v>1</v>
      </c>
      <c r="E5" s="2" t="s">
        <v>17</v>
      </c>
      <c r="F5" s="2" t="s">
        <v>40</v>
      </c>
      <c r="G5" s="2">
        <v>267</v>
      </c>
      <c r="H5" s="2" t="s">
        <v>16</v>
      </c>
      <c r="I5" s="2" t="s">
        <v>32</v>
      </c>
      <c r="J5" s="2" t="s">
        <v>16</v>
      </c>
      <c r="K5" s="2" t="s">
        <v>45</v>
      </c>
      <c r="L5" s="5" t="s">
        <v>13</v>
      </c>
      <c r="M5" s="4"/>
      <c r="N5" s="2"/>
      <c r="O5" s="5" t="s">
        <v>304</v>
      </c>
      <c r="P5" s="25">
        <v>54.4268</v>
      </c>
      <c r="Q5" s="36">
        <v>1.397</v>
      </c>
      <c r="R5" s="26">
        <v>410</v>
      </c>
      <c r="S5" s="27">
        <v>153.96100000000001</v>
      </c>
      <c r="T5" s="36">
        <v>1.4079999999999999</v>
      </c>
      <c r="U5" s="28">
        <v>340</v>
      </c>
      <c r="V5" s="25">
        <v>140.16800000000001</v>
      </c>
      <c r="W5" s="36">
        <v>1.458</v>
      </c>
      <c r="X5" s="26">
        <v>280</v>
      </c>
      <c r="Y5" s="27">
        <v>172.321</v>
      </c>
      <c r="Z5" s="36">
        <v>1.5009999999999999</v>
      </c>
      <c r="AA5" s="28">
        <v>210</v>
      </c>
      <c r="AB5" s="25">
        <v>168.779</v>
      </c>
      <c r="AC5" s="36">
        <v>1.5009999999999999</v>
      </c>
      <c r="AD5" s="26">
        <v>143</v>
      </c>
      <c r="AE5" s="27">
        <v>145.01400000000001</v>
      </c>
      <c r="AF5" s="36">
        <v>1.621</v>
      </c>
      <c r="AG5" s="26">
        <v>85</v>
      </c>
      <c r="AH5" t="str">
        <f t="shared" si="0"/>
        <v>U</v>
      </c>
      <c r="AI5" s="62"/>
      <c r="AJ5" s="61" t="str">
        <f t="shared" si="1"/>
        <v>2025-01-10-7호방-304LDS1-N33305</v>
      </c>
    </row>
    <row r="6" spans="1:36" s="1" customFormat="1" x14ac:dyDescent="0.25">
      <c r="A6" s="6">
        <v>5</v>
      </c>
      <c r="B6" s="3" t="s">
        <v>16</v>
      </c>
      <c r="C6" s="3" t="s">
        <v>21</v>
      </c>
      <c r="D6" s="3">
        <v>1</v>
      </c>
      <c r="E6" s="3" t="s">
        <v>22</v>
      </c>
      <c r="F6" s="3" t="s">
        <v>41</v>
      </c>
      <c r="G6" s="3">
        <v>270</v>
      </c>
      <c r="H6" s="3" t="s">
        <v>16</v>
      </c>
      <c r="I6" s="3" t="s">
        <v>33</v>
      </c>
      <c r="J6" s="3" t="s">
        <v>16</v>
      </c>
      <c r="K6" s="3" t="s">
        <v>46</v>
      </c>
      <c r="L6" s="7" t="s">
        <v>14</v>
      </c>
      <c r="M6" s="6"/>
      <c r="N6" s="3"/>
      <c r="O6" s="7" t="s">
        <v>304</v>
      </c>
      <c r="P6" s="29">
        <v>68.965500000000006</v>
      </c>
      <c r="Q6" s="37">
        <v>1.397</v>
      </c>
      <c r="R6" s="30">
        <v>410</v>
      </c>
      <c r="S6" s="31">
        <v>173.625</v>
      </c>
      <c r="T6" s="37">
        <v>1.4079999999999999</v>
      </c>
      <c r="U6" s="32">
        <v>340</v>
      </c>
      <c r="V6" s="29">
        <v>157.316</v>
      </c>
      <c r="W6" s="37">
        <v>1.458</v>
      </c>
      <c r="X6" s="30">
        <v>280</v>
      </c>
      <c r="Y6" s="31">
        <v>175.39599999999999</v>
      </c>
      <c r="Z6" s="37">
        <v>1.5009999999999999</v>
      </c>
      <c r="AA6" s="32">
        <v>210</v>
      </c>
      <c r="AB6" s="33">
        <v>187.69800000000001</v>
      </c>
      <c r="AC6" s="38">
        <v>1.548</v>
      </c>
      <c r="AD6" s="34">
        <v>143</v>
      </c>
      <c r="AE6" s="31">
        <v>162.06899999999999</v>
      </c>
      <c r="AF6" s="37">
        <v>1.621</v>
      </c>
      <c r="AG6" s="30">
        <v>85</v>
      </c>
      <c r="AH6" t="str">
        <f t="shared" si="0"/>
        <v>U</v>
      </c>
      <c r="AI6" s="62"/>
      <c r="AJ6" s="61" t="str">
        <f t="shared" si="1"/>
        <v>2025-01-10-7호방-316LDS1-N33135</v>
      </c>
    </row>
    <row r="7" spans="1:36" s="1" customFormat="1" x14ac:dyDescent="0.25">
      <c r="A7" s="6">
        <v>6</v>
      </c>
      <c r="B7" s="3" t="s">
        <v>16</v>
      </c>
      <c r="C7" s="3" t="s">
        <v>23</v>
      </c>
      <c r="D7" s="3">
        <v>1</v>
      </c>
      <c r="E7" s="3" t="s">
        <v>22</v>
      </c>
      <c r="F7" s="3" t="s">
        <v>41</v>
      </c>
      <c r="G7" s="3">
        <v>267</v>
      </c>
      <c r="H7" s="3" t="s">
        <v>16</v>
      </c>
      <c r="I7" s="3" t="s">
        <v>34</v>
      </c>
      <c r="J7" s="3" t="s">
        <v>16</v>
      </c>
      <c r="K7" s="3" t="s">
        <v>35</v>
      </c>
      <c r="L7" s="7" t="s">
        <v>50</v>
      </c>
      <c r="M7" s="6"/>
      <c r="N7" s="3"/>
      <c r="O7" s="7" t="s">
        <v>304</v>
      </c>
      <c r="P7" s="29">
        <v>81.733500000000006</v>
      </c>
      <c r="Q7" s="37">
        <v>1.397</v>
      </c>
      <c r="R7" s="30">
        <v>410</v>
      </c>
      <c r="S7" s="31">
        <v>176.51400000000001</v>
      </c>
      <c r="T7" s="37">
        <v>1.4079999999999999</v>
      </c>
      <c r="U7" s="32">
        <v>340</v>
      </c>
      <c r="V7" s="29">
        <v>158.99299999999999</v>
      </c>
      <c r="W7" s="37">
        <v>1.458</v>
      </c>
      <c r="X7" s="30">
        <v>280</v>
      </c>
      <c r="Y7" s="31">
        <v>205.77799999999999</v>
      </c>
      <c r="Z7" s="37">
        <v>1.5009999999999999</v>
      </c>
      <c r="AA7" s="32">
        <v>210</v>
      </c>
      <c r="AB7" s="29">
        <v>183.87700000000001</v>
      </c>
      <c r="AC7" s="37">
        <v>1.548</v>
      </c>
      <c r="AD7" s="30">
        <v>143</v>
      </c>
      <c r="AE7" s="31">
        <v>163.93299999999999</v>
      </c>
      <c r="AF7" s="37">
        <v>1.621</v>
      </c>
      <c r="AG7" s="30">
        <v>85</v>
      </c>
      <c r="AH7" t="str">
        <f t="shared" si="0"/>
        <v>D</v>
      </c>
      <c r="AI7" s="62"/>
      <c r="AJ7" s="61" t="str">
        <f t="shared" si="1"/>
        <v>2025-01-10-7호방-316LDS1-N33135</v>
      </c>
    </row>
    <row r="8" spans="1:36" s="1" customFormat="1" x14ac:dyDescent="0.25">
      <c r="A8" s="6">
        <v>7</v>
      </c>
      <c r="B8" s="3" t="s">
        <v>16</v>
      </c>
      <c r="C8" s="3" t="s">
        <v>24</v>
      </c>
      <c r="D8" s="3">
        <v>1</v>
      </c>
      <c r="E8" s="3" t="s">
        <v>22</v>
      </c>
      <c r="F8" s="3" t="s">
        <v>41</v>
      </c>
      <c r="G8" s="3">
        <v>267</v>
      </c>
      <c r="H8" s="3" t="s">
        <v>16</v>
      </c>
      <c r="I8" s="3" t="s">
        <v>35</v>
      </c>
      <c r="J8" s="3" t="s">
        <v>16</v>
      </c>
      <c r="K8" s="3" t="s">
        <v>47</v>
      </c>
      <c r="L8" s="7" t="s">
        <v>51</v>
      </c>
      <c r="M8" s="6"/>
      <c r="N8" s="3"/>
      <c r="O8" s="7" t="s">
        <v>304</v>
      </c>
      <c r="P8" s="29">
        <v>128.14500000000001</v>
      </c>
      <c r="Q8" s="37">
        <v>1.419</v>
      </c>
      <c r="R8" s="30">
        <v>410</v>
      </c>
      <c r="S8" s="31">
        <v>169.245</v>
      </c>
      <c r="T8" s="37">
        <v>1.3</v>
      </c>
      <c r="U8" s="32">
        <v>340</v>
      </c>
      <c r="V8" s="29">
        <v>42.311300000000003</v>
      </c>
      <c r="W8" s="37">
        <v>1.4079999999999999</v>
      </c>
      <c r="X8" s="30">
        <v>280</v>
      </c>
      <c r="Y8" s="31">
        <v>193.01</v>
      </c>
      <c r="Z8" s="37">
        <v>1.3209200000000001</v>
      </c>
      <c r="AA8" s="32">
        <v>210</v>
      </c>
      <c r="AB8" s="29">
        <v>181.08099999999999</v>
      </c>
      <c r="AC8" s="37">
        <v>0.81622899999999998</v>
      </c>
      <c r="AD8" s="30">
        <v>143</v>
      </c>
      <c r="AE8" s="31">
        <v>188.72300000000001</v>
      </c>
      <c r="AF8" s="37">
        <v>1.00624</v>
      </c>
      <c r="AG8" s="30">
        <v>85</v>
      </c>
      <c r="AH8" t="str">
        <f t="shared" si="0"/>
        <v>D</v>
      </c>
      <c r="AI8" s="62"/>
      <c r="AJ8" s="61" t="str">
        <f t="shared" si="1"/>
        <v>2025-01-10-7호방-316LDS1-N33135</v>
      </c>
    </row>
    <row r="9" spans="1:36" s="1" customFormat="1" x14ac:dyDescent="0.25">
      <c r="A9" s="6">
        <v>8</v>
      </c>
      <c r="B9" s="3" t="s">
        <v>16</v>
      </c>
      <c r="C9" s="3" t="s">
        <v>25</v>
      </c>
      <c r="D9" s="3">
        <v>1</v>
      </c>
      <c r="E9" s="3" t="s">
        <v>22</v>
      </c>
      <c r="F9" s="3" t="s">
        <v>41</v>
      </c>
      <c r="G9" s="3">
        <v>267</v>
      </c>
      <c r="H9" s="3" t="s">
        <v>16</v>
      </c>
      <c r="I9" s="3" t="s">
        <v>36</v>
      </c>
      <c r="J9" s="3" t="s">
        <v>16</v>
      </c>
      <c r="K9" s="3" t="s">
        <v>48</v>
      </c>
      <c r="L9" s="7" t="s">
        <v>52</v>
      </c>
      <c r="M9" s="6"/>
      <c r="N9" s="3"/>
      <c r="O9" s="7" t="s">
        <v>304</v>
      </c>
      <c r="P9" s="29">
        <v>83.690600000000003</v>
      </c>
      <c r="Q9" s="37">
        <v>1.21</v>
      </c>
      <c r="R9" s="30">
        <v>410</v>
      </c>
      <c r="S9" s="31">
        <v>205.405</v>
      </c>
      <c r="T9" s="37">
        <v>1.4079999999999999</v>
      </c>
      <c r="U9" s="32">
        <v>340</v>
      </c>
      <c r="V9" s="29">
        <v>162.90799999999999</v>
      </c>
      <c r="W9" s="37">
        <v>1.458</v>
      </c>
      <c r="X9" s="30">
        <v>280</v>
      </c>
      <c r="Y9" s="31">
        <v>191.333</v>
      </c>
      <c r="Z9" s="37">
        <v>1.5009999999999999</v>
      </c>
      <c r="AA9" s="32">
        <v>210</v>
      </c>
      <c r="AB9" s="29">
        <v>182.852</v>
      </c>
      <c r="AC9" s="37">
        <v>1.548</v>
      </c>
      <c r="AD9" s="30">
        <v>143</v>
      </c>
      <c r="AE9" s="31">
        <v>190.96</v>
      </c>
      <c r="AF9" s="37">
        <v>1.621</v>
      </c>
      <c r="AG9" s="30">
        <v>85</v>
      </c>
      <c r="AH9" t="str">
        <f t="shared" si="0"/>
        <v>D</v>
      </c>
      <c r="AI9" s="62"/>
      <c r="AJ9" s="61" t="str">
        <f t="shared" si="1"/>
        <v>2025-01-10-7호방-316LDS1-N33135</v>
      </c>
    </row>
    <row r="10" spans="1:36" s="1" customFormat="1" x14ac:dyDescent="0.25">
      <c r="A10" s="6">
        <v>9</v>
      </c>
      <c r="B10" s="3" t="s">
        <v>16</v>
      </c>
      <c r="C10" s="3" t="s">
        <v>26</v>
      </c>
      <c r="D10" s="3">
        <v>1</v>
      </c>
      <c r="E10" s="3" t="s">
        <v>22</v>
      </c>
      <c r="F10" s="3" t="s">
        <v>41</v>
      </c>
      <c r="G10" s="3">
        <v>267</v>
      </c>
      <c r="H10" s="3" t="s">
        <v>16</v>
      </c>
      <c r="I10" s="3" t="s">
        <v>37</v>
      </c>
      <c r="J10" s="3" t="s">
        <v>16</v>
      </c>
      <c r="K10" s="3" t="s">
        <v>38</v>
      </c>
      <c r="L10" s="7" t="s">
        <v>53</v>
      </c>
      <c r="M10" s="6"/>
      <c r="N10" s="3"/>
      <c r="O10" s="7" t="s">
        <v>304</v>
      </c>
      <c r="P10" s="29">
        <v>78.564800000000005</v>
      </c>
      <c r="Q10" s="37">
        <v>1.397</v>
      </c>
      <c r="R10" s="30">
        <v>410</v>
      </c>
      <c r="S10" s="31">
        <v>204.101</v>
      </c>
      <c r="T10" s="37">
        <v>1.4079999999999999</v>
      </c>
      <c r="U10" s="32">
        <v>340</v>
      </c>
      <c r="V10" s="29">
        <v>162.255</v>
      </c>
      <c r="W10" s="37">
        <v>1.458</v>
      </c>
      <c r="X10" s="30">
        <v>280</v>
      </c>
      <c r="Y10" s="31">
        <v>195.43299999999999</v>
      </c>
      <c r="Z10" s="37">
        <v>1.5009999999999999</v>
      </c>
      <c r="AA10" s="32">
        <v>210</v>
      </c>
      <c r="AB10" s="29">
        <v>181.64</v>
      </c>
      <c r="AC10" s="37">
        <v>1.548</v>
      </c>
      <c r="AD10" s="30">
        <v>143</v>
      </c>
      <c r="AE10" s="31">
        <v>180.988</v>
      </c>
      <c r="AF10" s="37">
        <v>1.621</v>
      </c>
      <c r="AG10" s="30">
        <v>85</v>
      </c>
      <c r="AH10" t="str">
        <f t="shared" si="0"/>
        <v>D</v>
      </c>
      <c r="AI10" s="62"/>
      <c r="AJ10" s="61" t="str">
        <f t="shared" si="1"/>
        <v>2025-01-10-7호방-316LDS1-N33135</v>
      </c>
    </row>
    <row r="11" spans="1:36" x14ac:dyDescent="0.25">
      <c r="A11" s="4">
        <v>10</v>
      </c>
      <c r="B11" s="2" t="s">
        <v>16</v>
      </c>
      <c r="C11" s="2" t="s">
        <v>27</v>
      </c>
      <c r="D11" s="2">
        <v>1</v>
      </c>
      <c r="E11" s="2" t="s">
        <v>28</v>
      </c>
      <c r="F11" s="2" t="s">
        <v>40</v>
      </c>
      <c r="G11" s="2">
        <v>267</v>
      </c>
      <c r="H11" s="2" t="s">
        <v>16</v>
      </c>
      <c r="I11" s="2" t="s">
        <v>38</v>
      </c>
      <c r="J11" s="2" t="s">
        <v>16</v>
      </c>
      <c r="K11" s="2" t="s">
        <v>49</v>
      </c>
      <c r="L11" s="5" t="s">
        <v>54</v>
      </c>
      <c r="M11" s="4"/>
      <c r="N11" s="2"/>
      <c r="O11" s="5" t="s">
        <v>304</v>
      </c>
      <c r="P11" s="25">
        <v>55.7316</v>
      </c>
      <c r="Q11" s="36">
        <v>1.21</v>
      </c>
      <c r="R11" s="26">
        <v>415</v>
      </c>
      <c r="S11" s="27">
        <v>140.82</v>
      </c>
      <c r="T11" s="36">
        <v>1.4079999999999999</v>
      </c>
      <c r="U11" s="28">
        <v>360</v>
      </c>
      <c r="V11" s="25">
        <v>147.251</v>
      </c>
      <c r="W11" s="36">
        <v>1.458</v>
      </c>
      <c r="X11" s="26">
        <v>295</v>
      </c>
      <c r="Y11" s="27">
        <v>187.88399999999999</v>
      </c>
      <c r="Z11" s="36">
        <v>1</v>
      </c>
      <c r="AA11" s="28">
        <v>225</v>
      </c>
      <c r="AB11" s="25">
        <v>166.91499999999999</v>
      </c>
      <c r="AC11" s="36">
        <v>1.1611800000000001</v>
      </c>
      <c r="AD11" s="26">
        <v>150</v>
      </c>
      <c r="AE11" s="27">
        <v>184.62299999999999</v>
      </c>
      <c r="AF11" s="36">
        <v>1.44798</v>
      </c>
      <c r="AG11" s="26">
        <v>85</v>
      </c>
      <c r="AH11" t="str">
        <f t="shared" si="0"/>
        <v>D</v>
      </c>
      <c r="AI11" s="62"/>
      <c r="AJ11" s="61" t="str">
        <f t="shared" si="1"/>
        <v>2025-01-10-7호방-304LDS1-N33057</v>
      </c>
    </row>
    <row r="12" spans="1:36" x14ac:dyDescent="0.2">
      <c r="A12" s="4">
        <v>11</v>
      </c>
      <c r="B12" s="2" t="s">
        <v>76</v>
      </c>
      <c r="C12" s="2" t="s">
        <v>83</v>
      </c>
      <c r="D12" s="2">
        <v>1</v>
      </c>
      <c r="E12" s="2" t="s">
        <v>176</v>
      </c>
      <c r="F12" s="2" t="s">
        <v>40</v>
      </c>
      <c r="G12" s="2">
        <v>285</v>
      </c>
      <c r="H12" s="2" t="s">
        <v>76</v>
      </c>
      <c r="I12" s="2" t="s">
        <v>187</v>
      </c>
      <c r="J12" s="2" t="s">
        <v>76</v>
      </c>
      <c r="K12" s="2" t="s">
        <v>188</v>
      </c>
      <c r="L12" s="5" t="s">
        <v>308</v>
      </c>
      <c r="M12" s="4"/>
      <c r="N12" s="2"/>
      <c r="O12" s="5" t="s">
        <v>304</v>
      </c>
      <c r="P12" s="25">
        <v>56.943100000000001</v>
      </c>
      <c r="Q12" s="36">
        <v>1.427</v>
      </c>
      <c r="R12" s="26">
        <v>420</v>
      </c>
      <c r="S12" s="27">
        <v>116.309</v>
      </c>
      <c r="T12" s="36">
        <v>1.3979999999999999</v>
      </c>
      <c r="U12" s="28">
        <v>370</v>
      </c>
      <c r="V12" s="25">
        <v>192.54400000000001</v>
      </c>
      <c r="W12" s="36">
        <v>1.1419999999999999</v>
      </c>
      <c r="X12" s="26">
        <v>290</v>
      </c>
      <c r="Y12" s="27">
        <v>127.027</v>
      </c>
      <c r="Z12" s="36">
        <v>1.1419999999999999</v>
      </c>
      <c r="AA12" s="28">
        <v>245</v>
      </c>
      <c r="AB12" s="25">
        <v>161.22999999999999</v>
      </c>
      <c r="AC12" s="36">
        <v>0.5</v>
      </c>
      <c r="AD12" s="26">
        <v>175</v>
      </c>
      <c r="AE12" s="27">
        <v>185.46100000000001</v>
      </c>
      <c r="AF12" s="36">
        <v>0.5</v>
      </c>
      <c r="AG12" s="26">
        <v>105</v>
      </c>
      <c r="AH12" t="str">
        <f t="shared" si="0"/>
        <v>U</v>
      </c>
      <c r="AI12" s="63" t="s">
        <v>323</v>
      </c>
      <c r="AJ12" s="61" t="str">
        <f t="shared" si="1"/>
        <v>2025-01-26-7호방-304LDS1-N33127</v>
      </c>
    </row>
    <row r="13" spans="1:36" x14ac:dyDescent="0.4">
      <c r="A13" s="4">
        <v>12</v>
      </c>
      <c r="B13" s="2" t="s">
        <v>76</v>
      </c>
      <c r="C13" s="2" t="s">
        <v>84</v>
      </c>
      <c r="D13" s="2">
        <v>1</v>
      </c>
      <c r="E13" s="2" t="s">
        <v>176</v>
      </c>
      <c r="F13" s="2" t="s">
        <v>40</v>
      </c>
      <c r="G13" s="2">
        <v>285</v>
      </c>
      <c r="H13" s="2" t="s">
        <v>76</v>
      </c>
      <c r="I13" s="2" t="s">
        <v>189</v>
      </c>
      <c r="J13" s="2" t="s">
        <v>76</v>
      </c>
      <c r="K13" s="2" t="s">
        <v>190</v>
      </c>
      <c r="L13" s="5" t="s">
        <v>309</v>
      </c>
      <c r="M13" s="4"/>
      <c r="N13" s="2"/>
      <c r="O13" s="5" t="s">
        <v>304</v>
      </c>
      <c r="P13" s="25">
        <v>51.537700000000001</v>
      </c>
      <c r="Q13" s="36">
        <v>1.427</v>
      </c>
      <c r="R13" s="26">
        <v>420</v>
      </c>
      <c r="S13" s="27">
        <v>112.30200000000001</v>
      </c>
      <c r="T13" s="36">
        <v>1.3979999999999999</v>
      </c>
      <c r="U13" s="28">
        <v>370</v>
      </c>
      <c r="V13" s="25">
        <v>193.94200000000001</v>
      </c>
      <c r="W13" s="36">
        <v>1.1419999999999999</v>
      </c>
      <c r="X13" s="26">
        <v>290</v>
      </c>
      <c r="Y13" s="27">
        <v>114.539</v>
      </c>
      <c r="Z13" s="36">
        <v>1.1419999999999999</v>
      </c>
      <c r="AA13" s="28">
        <v>245</v>
      </c>
      <c r="AB13" s="25">
        <v>157.316</v>
      </c>
      <c r="AC13" s="36">
        <v>0.5</v>
      </c>
      <c r="AD13" s="26">
        <v>175</v>
      </c>
      <c r="AE13" s="27">
        <v>181.36099999999999</v>
      </c>
      <c r="AF13" s="36">
        <v>0.5</v>
      </c>
      <c r="AG13" s="26">
        <v>105</v>
      </c>
      <c r="AH13" t="str">
        <f t="shared" si="0"/>
        <v>U</v>
      </c>
      <c r="AI13" s="64"/>
      <c r="AJ13" s="61" t="str">
        <f t="shared" si="1"/>
        <v>2025-01-26-7호방-304LDS1-N33127</v>
      </c>
    </row>
    <row r="14" spans="1:36" x14ac:dyDescent="0.4">
      <c r="A14" s="4">
        <v>13</v>
      </c>
      <c r="B14" s="2" t="s">
        <v>76</v>
      </c>
      <c r="C14" s="2" t="s">
        <v>85</v>
      </c>
      <c r="D14" s="2">
        <v>1</v>
      </c>
      <c r="E14" s="2" t="s">
        <v>176</v>
      </c>
      <c r="F14" s="2" t="s">
        <v>40</v>
      </c>
      <c r="G14" s="2">
        <v>285</v>
      </c>
      <c r="H14" s="2" t="s">
        <v>76</v>
      </c>
      <c r="I14" s="2" t="s">
        <v>190</v>
      </c>
      <c r="J14" s="2" t="s">
        <v>76</v>
      </c>
      <c r="K14" s="2" t="s">
        <v>191</v>
      </c>
      <c r="L14" s="5" t="s">
        <v>12</v>
      </c>
      <c r="M14" s="4"/>
      <c r="N14" s="2"/>
      <c r="O14" s="5" t="s">
        <v>304</v>
      </c>
      <c r="P14" s="25">
        <v>51.817300000000003</v>
      </c>
      <c r="Q14" s="36">
        <v>1.427</v>
      </c>
      <c r="R14" s="26">
        <v>420</v>
      </c>
      <c r="S14" s="27">
        <v>110.624</v>
      </c>
      <c r="T14" s="36">
        <v>1.3979999999999999</v>
      </c>
      <c r="U14" s="28">
        <v>370</v>
      </c>
      <c r="V14" s="25">
        <v>191.24</v>
      </c>
      <c r="W14" s="36">
        <v>1.1419999999999999</v>
      </c>
      <c r="X14" s="26">
        <v>290</v>
      </c>
      <c r="Y14" s="27">
        <v>109.97199999999999</v>
      </c>
      <c r="Z14" s="36">
        <v>1.1419999999999999</v>
      </c>
      <c r="AA14" s="28">
        <v>245</v>
      </c>
      <c r="AB14" s="25">
        <v>150.047</v>
      </c>
      <c r="AC14" s="36">
        <v>0.5</v>
      </c>
      <c r="AD14" s="26">
        <v>175</v>
      </c>
      <c r="AE14" s="27">
        <v>180.89500000000001</v>
      </c>
      <c r="AF14" s="36">
        <v>0.5</v>
      </c>
      <c r="AG14" s="26">
        <v>105</v>
      </c>
      <c r="AH14" t="str">
        <f t="shared" si="0"/>
        <v>U</v>
      </c>
      <c r="AI14" s="64"/>
      <c r="AJ14" s="61" t="str">
        <f t="shared" si="1"/>
        <v>2025-01-26-7호방-304LDS1-N33127</v>
      </c>
    </row>
    <row r="15" spans="1:36" x14ac:dyDescent="0.4">
      <c r="A15" s="4">
        <v>14</v>
      </c>
      <c r="B15" s="2" t="s">
        <v>76</v>
      </c>
      <c r="C15" s="2" t="s">
        <v>86</v>
      </c>
      <c r="D15" s="2">
        <v>1</v>
      </c>
      <c r="E15" s="2" t="s">
        <v>176</v>
      </c>
      <c r="F15" s="2" t="s">
        <v>40</v>
      </c>
      <c r="G15" s="2">
        <v>285</v>
      </c>
      <c r="H15" s="2" t="s">
        <v>76</v>
      </c>
      <c r="I15" s="2" t="s">
        <v>191</v>
      </c>
      <c r="J15" s="2" t="s">
        <v>76</v>
      </c>
      <c r="K15" s="2" t="s">
        <v>192</v>
      </c>
      <c r="L15" s="5" t="s">
        <v>13</v>
      </c>
      <c r="M15" s="4"/>
      <c r="N15" s="2"/>
      <c r="O15" s="5" t="s">
        <v>304</v>
      </c>
      <c r="P15" s="25">
        <v>52.935699999999997</v>
      </c>
      <c r="Q15" s="36">
        <v>1.427</v>
      </c>
      <c r="R15" s="26">
        <v>420</v>
      </c>
      <c r="S15" s="27">
        <v>127.49299999999999</v>
      </c>
      <c r="T15" s="36">
        <v>1.3979999999999999</v>
      </c>
      <c r="U15" s="28">
        <v>370</v>
      </c>
      <c r="V15" s="25">
        <v>190.58699999999999</v>
      </c>
      <c r="W15" s="36">
        <v>1.1419999999999999</v>
      </c>
      <c r="X15" s="26">
        <v>290</v>
      </c>
      <c r="Y15" s="27">
        <v>182.852</v>
      </c>
      <c r="Z15" s="36">
        <v>0.19</v>
      </c>
      <c r="AA15" s="28">
        <v>245</v>
      </c>
      <c r="AB15" s="25">
        <v>61.323399999999999</v>
      </c>
      <c r="AC15" s="36">
        <v>0.48708800000000002</v>
      </c>
      <c r="AD15" s="26">
        <v>175</v>
      </c>
      <c r="AE15" s="27">
        <v>194.035</v>
      </c>
      <c r="AF15" s="36">
        <v>1.0076099999999999</v>
      </c>
      <c r="AG15" s="26">
        <v>105</v>
      </c>
      <c r="AH15" t="str">
        <f t="shared" si="0"/>
        <v>U</v>
      </c>
      <c r="AI15" s="64"/>
      <c r="AJ15" s="61" t="str">
        <f t="shared" si="1"/>
        <v>2025-01-26-7호방-304LDS1-N33127</v>
      </c>
    </row>
    <row r="16" spans="1:36" x14ac:dyDescent="0.4">
      <c r="A16" s="4">
        <v>15</v>
      </c>
      <c r="B16" s="2" t="s">
        <v>76</v>
      </c>
      <c r="C16" s="2" t="s">
        <v>87</v>
      </c>
      <c r="D16" s="2">
        <v>1</v>
      </c>
      <c r="E16" s="2" t="s">
        <v>176</v>
      </c>
      <c r="F16" s="2" t="s">
        <v>40</v>
      </c>
      <c r="G16" s="2">
        <v>285</v>
      </c>
      <c r="H16" s="2" t="s">
        <v>76</v>
      </c>
      <c r="I16" s="2" t="s">
        <v>192</v>
      </c>
      <c r="J16" s="2" t="s">
        <v>76</v>
      </c>
      <c r="K16" s="2" t="s">
        <v>193</v>
      </c>
      <c r="L16" s="5" t="s">
        <v>311</v>
      </c>
      <c r="M16" s="4"/>
      <c r="N16" s="2"/>
      <c r="O16" s="5" t="s">
        <v>304</v>
      </c>
      <c r="P16" s="25">
        <v>62.441800000000001</v>
      </c>
      <c r="Q16" s="36">
        <v>1.85934</v>
      </c>
      <c r="R16" s="26">
        <v>420</v>
      </c>
      <c r="S16" s="27">
        <v>129.077</v>
      </c>
      <c r="T16" s="36">
        <v>1.9705600000000001</v>
      </c>
      <c r="U16" s="28">
        <v>370</v>
      </c>
      <c r="V16" s="25">
        <v>186.76599999999999</v>
      </c>
      <c r="W16" s="36">
        <v>1.87402</v>
      </c>
      <c r="X16" s="26">
        <v>290</v>
      </c>
      <c r="Y16" s="27">
        <v>122.926</v>
      </c>
      <c r="Z16" s="36">
        <v>1.6580699999999999</v>
      </c>
      <c r="AA16" s="28">
        <v>245</v>
      </c>
      <c r="AB16" s="25">
        <v>199.53399999999999</v>
      </c>
      <c r="AC16" s="36">
        <v>1.5831999999999999</v>
      </c>
      <c r="AD16" s="26">
        <v>175</v>
      </c>
      <c r="AE16" s="27">
        <v>206.244</v>
      </c>
      <c r="AF16" s="36">
        <v>1.3837600000000001</v>
      </c>
      <c r="AG16" s="26">
        <v>105</v>
      </c>
      <c r="AH16" t="str">
        <f t="shared" si="0"/>
        <v>D</v>
      </c>
      <c r="AI16" s="64"/>
      <c r="AJ16" s="61" t="str">
        <f t="shared" si="1"/>
        <v>2025-01-26-7호방-304LDS1-N33127</v>
      </c>
    </row>
    <row r="17" spans="1:36" x14ac:dyDescent="0.4">
      <c r="A17" s="4">
        <v>16</v>
      </c>
      <c r="B17" s="2" t="s">
        <v>76</v>
      </c>
      <c r="C17" s="2" t="s">
        <v>88</v>
      </c>
      <c r="D17" s="2">
        <v>1</v>
      </c>
      <c r="E17" s="2" t="s">
        <v>176</v>
      </c>
      <c r="F17" s="2" t="s">
        <v>40</v>
      </c>
      <c r="G17" s="2">
        <v>285</v>
      </c>
      <c r="H17" s="2" t="s">
        <v>76</v>
      </c>
      <c r="I17" s="2" t="s">
        <v>193</v>
      </c>
      <c r="J17" s="2" t="s">
        <v>76</v>
      </c>
      <c r="K17" s="2" t="s">
        <v>194</v>
      </c>
      <c r="L17" s="5" t="s">
        <v>51</v>
      </c>
      <c r="M17" s="4"/>
      <c r="N17" s="2"/>
      <c r="O17" s="5" t="s">
        <v>304</v>
      </c>
      <c r="P17" s="25">
        <v>53.0289</v>
      </c>
      <c r="Q17" s="36">
        <v>1.3</v>
      </c>
      <c r="R17" s="26">
        <v>420</v>
      </c>
      <c r="S17" s="27">
        <v>116.869</v>
      </c>
      <c r="T17" s="36">
        <v>1.3979999999999999</v>
      </c>
      <c r="U17" s="28">
        <v>370</v>
      </c>
      <c r="V17" s="25">
        <v>190.58699999999999</v>
      </c>
      <c r="W17" s="36">
        <v>1.1419999999999999</v>
      </c>
      <c r="X17" s="26">
        <v>290</v>
      </c>
      <c r="Y17" s="27">
        <v>148.928</v>
      </c>
      <c r="Z17" s="36">
        <v>1.1419999999999999</v>
      </c>
      <c r="AA17" s="28">
        <v>245</v>
      </c>
      <c r="AB17" s="25">
        <v>170.923</v>
      </c>
      <c r="AC17" s="36">
        <v>1.6364099999999999</v>
      </c>
      <c r="AD17" s="26">
        <v>175</v>
      </c>
      <c r="AE17" s="27">
        <v>189.935</v>
      </c>
      <c r="AF17" s="36">
        <v>1.1571499999999999</v>
      </c>
      <c r="AG17" s="26">
        <v>105</v>
      </c>
      <c r="AH17" t="str">
        <f t="shared" si="0"/>
        <v>D</v>
      </c>
      <c r="AI17" s="64"/>
      <c r="AJ17" s="61" t="str">
        <f t="shared" si="1"/>
        <v>2025-01-26-7호방-304LDS1-N33127</v>
      </c>
    </row>
    <row r="18" spans="1:36" x14ac:dyDescent="0.4">
      <c r="A18" s="4">
        <v>17</v>
      </c>
      <c r="B18" s="2" t="s">
        <v>76</v>
      </c>
      <c r="C18" s="2" t="s">
        <v>89</v>
      </c>
      <c r="D18" s="2">
        <v>1</v>
      </c>
      <c r="E18" s="2" t="s">
        <v>22</v>
      </c>
      <c r="F18" s="2" t="s">
        <v>41</v>
      </c>
      <c r="G18" s="2">
        <v>285</v>
      </c>
      <c r="H18" s="2" t="s">
        <v>76</v>
      </c>
      <c r="I18" s="2" t="s">
        <v>195</v>
      </c>
      <c r="J18" s="2" t="s">
        <v>76</v>
      </c>
      <c r="K18" s="2" t="s">
        <v>196</v>
      </c>
      <c r="L18" s="5" t="s">
        <v>52</v>
      </c>
      <c r="M18" s="4"/>
      <c r="N18" s="2"/>
      <c r="O18" s="5" t="s">
        <v>304</v>
      </c>
      <c r="P18" s="25">
        <v>63.1873</v>
      </c>
      <c r="Q18" s="36">
        <v>1.427</v>
      </c>
      <c r="R18" s="26">
        <v>420</v>
      </c>
      <c r="S18" s="27">
        <v>128.33199999999999</v>
      </c>
      <c r="T18" s="36">
        <v>1.3979999999999999</v>
      </c>
      <c r="U18" s="28">
        <v>370</v>
      </c>
      <c r="V18" s="25">
        <v>191.51900000000001</v>
      </c>
      <c r="W18" s="36">
        <v>1.1419999999999999</v>
      </c>
      <c r="X18" s="26">
        <v>290</v>
      </c>
      <c r="Y18" s="27">
        <v>190.214</v>
      </c>
      <c r="Z18" s="36">
        <v>1.1419999999999999</v>
      </c>
      <c r="AA18" s="28">
        <v>245</v>
      </c>
      <c r="AB18" s="25">
        <v>178.65799999999999</v>
      </c>
      <c r="AC18" s="36">
        <v>0.5</v>
      </c>
      <c r="AD18" s="26">
        <v>175</v>
      </c>
      <c r="AE18" s="27">
        <v>190.30799999999999</v>
      </c>
      <c r="AF18" s="36">
        <v>0.5</v>
      </c>
      <c r="AG18" s="26">
        <v>105</v>
      </c>
      <c r="AH18" t="str">
        <f t="shared" si="0"/>
        <v>D</v>
      </c>
      <c r="AI18" s="64"/>
      <c r="AJ18" s="61" t="str">
        <f t="shared" si="1"/>
        <v>2025-01-26-7호방-316LDS1-N33135</v>
      </c>
    </row>
    <row r="19" spans="1:36" x14ac:dyDescent="0.4">
      <c r="A19" s="4">
        <v>18</v>
      </c>
      <c r="B19" s="2" t="s">
        <v>76</v>
      </c>
      <c r="C19" s="2" t="s">
        <v>90</v>
      </c>
      <c r="D19" s="2">
        <v>1</v>
      </c>
      <c r="E19" s="2" t="s">
        <v>177</v>
      </c>
      <c r="F19" s="2" t="s">
        <v>41</v>
      </c>
      <c r="G19" s="2">
        <v>285</v>
      </c>
      <c r="H19" s="2" t="s">
        <v>76</v>
      </c>
      <c r="I19" s="2" t="s">
        <v>196</v>
      </c>
      <c r="J19" s="2" t="s">
        <v>76</v>
      </c>
      <c r="K19" s="2" t="s">
        <v>197</v>
      </c>
      <c r="L19" s="5" t="s">
        <v>53</v>
      </c>
      <c r="M19" s="4"/>
      <c r="N19" s="2"/>
      <c r="O19" s="5" t="s">
        <v>304</v>
      </c>
      <c r="P19" s="25">
        <v>64.492099999999994</v>
      </c>
      <c r="Q19" s="36">
        <v>2.0562299999999998</v>
      </c>
      <c r="R19" s="26">
        <v>420</v>
      </c>
      <c r="S19" s="27">
        <v>141.00700000000001</v>
      </c>
      <c r="T19" s="36">
        <v>2.0222899999999999</v>
      </c>
      <c r="U19" s="28">
        <v>370</v>
      </c>
      <c r="V19" s="25">
        <v>205.31200000000001</v>
      </c>
      <c r="W19" s="36">
        <v>1.5657700000000001</v>
      </c>
      <c r="X19" s="26">
        <v>290</v>
      </c>
      <c r="Y19" s="27">
        <v>129.17099999999999</v>
      </c>
      <c r="Z19" s="36">
        <v>1.63422</v>
      </c>
      <c r="AA19" s="28">
        <v>245</v>
      </c>
      <c r="AB19" s="25">
        <v>198.88200000000001</v>
      </c>
      <c r="AC19" s="36">
        <v>1.6217299999999999</v>
      </c>
      <c r="AD19" s="26">
        <v>175</v>
      </c>
      <c r="AE19" s="27">
        <v>205.03299999999999</v>
      </c>
      <c r="AF19" s="36">
        <v>1.58422</v>
      </c>
      <c r="AG19" s="26">
        <v>105</v>
      </c>
      <c r="AH19" t="str">
        <f t="shared" si="0"/>
        <v>D</v>
      </c>
      <c r="AI19" s="64"/>
      <c r="AJ19" s="61" t="str">
        <f t="shared" si="1"/>
        <v>2025-01-26-7호방-316LDS1-N33306</v>
      </c>
    </row>
    <row r="20" spans="1:36" x14ac:dyDescent="0.2">
      <c r="A20" s="4">
        <v>19</v>
      </c>
      <c r="B20" s="2" t="s">
        <v>77</v>
      </c>
      <c r="C20" s="2" t="s">
        <v>91</v>
      </c>
      <c r="D20" s="2">
        <v>1</v>
      </c>
      <c r="E20" s="2" t="s">
        <v>178</v>
      </c>
      <c r="F20" s="2" t="s">
        <v>40</v>
      </c>
      <c r="G20" s="2">
        <v>320</v>
      </c>
      <c r="H20" s="2" t="s">
        <v>77</v>
      </c>
      <c r="I20" s="2" t="s">
        <v>198</v>
      </c>
      <c r="J20" s="2" t="s">
        <v>77</v>
      </c>
      <c r="K20" s="2" t="s">
        <v>195</v>
      </c>
      <c r="L20" s="5" t="s">
        <v>308</v>
      </c>
      <c r="M20" s="4"/>
      <c r="N20" s="2"/>
      <c r="O20" s="5" t="s">
        <v>305</v>
      </c>
      <c r="P20" s="25">
        <v>45.386800000000001</v>
      </c>
      <c r="Q20" s="36">
        <v>0.61872899999999997</v>
      </c>
      <c r="R20" s="26">
        <v>460</v>
      </c>
      <c r="S20" s="27">
        <v>74.277699999999996</v>
      </c>
      <c r="T20" s="36">
        <v>1.64706</v>
      </c>
      <c r="U20" s="28">
        <v>435</v>
      </c>
      <c r="V20" s="25">
        <v>156.75700000000001</v>
      </c>
      <c r="W20" s="36">
        <v>0.5</v>
      </c>
      <c r="X20" s="26">
        <v>360</v>
      </c>
      <c r="Y20" s="27">
        <v>185.92699999999999</v>
      </c>
      <c r="Z20" s="36">
        <v>0.5</v>
      </c>
      <c r="AA20" s="28">
        <v>285</v>
      </c>
      <c r="AB20" s="25">
        <v>181.267</v>
      </c>
      <c r="AC20" s="36">
        <v>0.5</v>
      </c>
      <c r="AD20" s="26">
        <v>210</v>
      </c>
      <c r="AE20" s="27">
        <v>178.09899999999999</v>
      </c>
      <c r="AF20" s="36">
        <v>0.5</v>
      </c>
      <c r="AG20" s="26">
        <v>143</v>
      </c>
      <c r="AH20" t="str">
        <f t="shared" si="0"/>
        <v>U</v>
      </c>
      <c r="AI20" s="65" t="s">
        <v>324</v>
      </c>
      <c r="AJ20" s="61" t="str">
        <f t="shared" si="1"/>
        <v>2025-02-17-5호방-304LDS1-N33502</v>
      </c>
    </row>
    <row r="21" spans="1:36" x14ac:dyDescent="0.4">
      <c r="A21" s="4">
        <v>20</v>
      </c>
      <c r="B21" s="2" t="s">
        <v>77</v>
      </c>
      <c r="C21" s="2" t="s">
        <v>92</v>
      </c>
      <c r="D21" s="2">
        <v>1</v>
      </c>
      <c r="E21" s="2" t="s">
        <v>176</v>
      </c>
      <c r="F21" s="2" t="s">
        <v>40</v>
      </c>
      <c r="G21" s="2">
        <v>320</v>
      </c>
      <c r="H21" s="2" t="s">
        <v>77</v>
      </c>
      <c r="I21" s="2" t="s">
        <v>199</v>
      </c>
      <c r="J21" s="2" t="s">
        <v>77</v>
      </c>
      <c r="K21" s="2" t="s">
        <v>200</v>
      </c>
      <c r="L21" s="5" t="s">
        <v>309</v>
      </c>
      <c r="M21" s="4"/>
      <c r="N21" s="2"/>
      <c r="O21" s="5" t="s">
        <v>305</v>
      </c>
      <c r="P21" s="25">
        <v>43.336399999999998</v>
      </c>
      <c r="Q21" s="36">
        <v>0.71326100000000003</v>
      </c>
      <c r="R21" s="26">
        <v>460</v>
      </c>
      <c r="S21" s="27">
        <v>80.8947</v>
      </c>
      <c r="T21" s="36">
        <v>1.27596</v>
      </c>
      <c r="U21" s="28">
        <v>435</v>
      </c>
      <c r="V21" s="25">
        <v>165.983</v>
      </c>
      <c r="W21" s="36">
        <v>0.5</v>
      </c>
      <c r="X21" s="26">
        <v>360</v>
      </c>
      <c r="Y21" s="27">
        <v>32.152799999999999</v>
      </c>
      <c r="Z21" s="36">
        <v>0.43677700000000003</v>
      </c>
      <c r="AA21" s="28">
        <v>360</v>
      </c>
      <c r="AB21" s="25">
        <v>187.32499999999999</v>
      </c>
      <c r="AC21" s="36">
        <v>0.5</v>
      </c>
      <c r="AD21" s="26">
        <v>285</v>
      </c>
      <c r="AE21" s="27">
        <v>183.131</v>
      </c>
      <c r="AF21" s="36">
        <v>0.5</v>
      </c>
      <c r="AG21" s="26">
        <v>210</v>
      </c>
      <c r="AH21" t="str">
        <f t="shared" si="0"/>
        <v>U</v>
      </c>
      <c r="AI21" s="66"/>
      <c r="AJ21" s="61" t="str">
        <f t="shared" si="1"/>
        <v>2025-02-17-5호방-304LDS1-N33127</v>
      </c>
    </row>
    <row r="22" spans="1:36" x14ac:dyDescent="0.4">
      <c r="A22" s="4">
        <v>21</v>
      </c>
      <c r="B22" s="2" t="s">
        <v>77</v>
      </c>
      <c r="C22" s="2" t="s">
        <v>93</v>
      </c>
      <c r="D22" s="2">
        <v>1</v>
      </c>
      <c r="E22" s="2" t="s">
        <v>176</v>
      </c>
      <c r="F22" s="2" t="s">
        <v>40</v>
      </c>
      <c r="G22" s="2">
        <v>320</v>
      </c>
      <c r="H22" s="2" t="s">
        <v>77</v>
      </c>
      <c r="I22" s="2" t="s">
        <v>200</v>
      </c>
      <c r="J22" s="2" t="s">
        <v>77</v>
      </c>
      <c r="K22" s="2" t="s">
        <v>201</v>
      </c>
      <c r="L22" s="5" t="s">
        <v>12</v>
      </c>
      <c r="M22" s="4"/>
      <c r="N22" s="2"/>
      <c r="O22" s="5" t="s">
        <v>305</v>
      </c>
      <c r="P22" s="25">
        <v>81.640299999999996</v>
      </c>
      <c r="Q22" s="36">
        <v>1.6028100000000001</v>
      </c>
      <c r="R22" s="26">
        <v>435</v>
      </c>
      <c r="S22" s="27">
        <v>158.99299999999999</v>
      </c>
      <c r="T22" s="36">
        <v>0.5</v>
      </c>
      <c r="U22" s="28">
        <v>360</v>
      </c>
      <c r="V22" s="25">
        <v>190.774</v>
      </c>
      <c r="W22" s="36">
        <v>0.5</v>
      </c>
      <c r="X22" s="26">
        <v>285</v>
      </c>
      <c r="Y22" s="27">
        <v>184.43600000000001</v>
      </c>
      <c r="Z22" s="36">
        <v>0.5</v>
      </c>
      <c r="AA22" s="28">
        <v>210</v>
      </c>
      <c r="AB22" s="25">
        <v>29.450099999999999</v>
      </c>
      <c r="AC22" s="36">
        <v>1.19539</v>
      </c>
      <c r="AD22" s="26">
        <v>285</v>
      </c>
      <c r="AE22" s="27">
        <v>178.006</v>
      </c>
      <c r="AF22" s="36">
        <v>0.5</v>
      </c>
      <c r="AG22" s="26">
        <v>210</v>
      </c>
      <c r="AH22" t="str">
        <f t="shared" si="0"/>
        <v>U</v>
      </c>
      <c r="AI22" s="66"/>
      <c r="AJ22" s="61" t="str">
        <f t="shared" si="1"/>
        <v>2025-02-17-5호방-304LDS1-N33127</v>
      </c>
    </row>
    <row r="23" spans="1:36" x14ac:dyDescent="0.4">
      <c r="A23" s="4">
        <v>22</v>
      </c>
      <c r="B23" s="2" t="s">
        <v>77</v>
      </c>
      <c r="C23" s="2" t="s">
        <v>94</v>
      </c>
      <c r="D23" s="2">
        <v>1</v>
      </c>
      <c r="E23" s="2" t="s">
        <v>17</v>
      </c>
      <c r="F23" s="2" t="s">
        <v>40</v>
      </c>
      <c r="G23" s="2">
        <v>320</v>
      </c>
      <c r="H23" s="2" t="s">
        <v>77</v>
      </c>
      <c r="I23" s="2" t="s">
        <v>201</v>
      </c>
      <c r="J23" s="2" t="s">
        <v>77</v>
      </c>
      <c r="K23" s="2" t="s">
        <v>202</v>
      </c>
      <c r="L23" s="5" t="s">
        <v>13</v>
      </c>
      <c r="M23" s="4"/>
      <c r="N23" s="2"/>
      <c r="O23" s="5" t="s">
        <v>305</v>
      </c>
      <c r="P23" s="25">
        <v>71.668199999999999</v>
      </c>
      <c r="Q23" s="36">
        <v>1.5447500000000001</v>
      </c>
      <c r="R23" s="26">
        <v>435</v>
      </c>
      <c r="S23" s="27">
        <v>157.036</v>
      </c>
      <c r="T23" s="36">
        <v>0.5</v>
      </c>
      <c r="U23" s="28">
        <v>360</v>
      </c>
      <c r="V23" s="25">
        <v>32.339199999999998</v>
      </c>
      <c r="W23" s="36">
        <v>0.5</v>
      </c>
      <c r="X23" s="26">
        <v>285</v>
      </c>
      <c r="Y23" s="27">
        <v>179.87</v>
      </c>
      <c r="Z23" s="36">
        <v>0.5</v>
      </c>
      <c r="AA23" s="28">
        <v>285</v>
      </c>
      <c r="AB23" s="25">
        <v>178.751</v>
      </c>
      <c r="AC23" s="36">
        <v>0.5</v>
      </c>
      <c r="AD23" s="26">
        <v>210</v>
      </c>
      <c r="AE23" s="27">
        <v>176.887</v>
      </c>
      <c r="AF23" s="36">
        <v>0.5</v>
      </c>
      <c r="AG23" s="26">
        <v>143</v>
      </c>
      <c r="AH23" t="str">
        <f t="shared" si="0"/>
        <v>U</v>
      </c>
      <c r="AI23" s="66"/>
      <c r="AJ23" s="61" t="str">
        <f t="shared" si="1"/>
        <v>2025-02-17-5호방-304LDS1-N33305</v>
      </c>
    </row>
    <row r="24" spans="1:36" x14ac:dyDescent="0.4">
      <c r="A24" s="4">
        <v>23</v>
      </c>
      <c r="B24" s="2" t="s">
        <v>77</v>
      </c>
      <c r="C24" s="2" t="s">
        <v>95</v>
      </c>
      <c r="D24" s="2">
        <v>1</v>
      </c>
      <c r="E24" s="2" t="s">
        <v>17</v>
      </c>
      <c r="F24" s="2" t="s">
        <v>40</v>
      </c>
      <c r="G24" s="2">
        <v>320</v>
      </c>
      <c r="H24" s="2" t="s">
        <v>77</v>
      </c>
      <c r="I24" s="2" t="s">
        <v>203</v>
      </c>
      <c r="J24" s="2" t="s">
        <v>77</v>
      </c>
      <c r="K24" s="2" t="s">
        <v>204</v>
      </c>
      <c r="L24" s="5" t="s">
        <v>311</v>
      </c>
      <c r="M24" s="4"/>
      <c r="N24" s="2"/>
      <c r="O24" s="5" t="s">
        <v>305</v>
      </c>
      <c r="P24" s="25">
        <v>71.668199999999999</v>
      </c>
      <c r="Q24" s="36">
        <v>1.6562300000000001</v>
      </c>
      <c r="R24" s="26">
        <v>435</v>
      </c>
      <c r="S24" s="27">
        <v>151.72399999999999</v>
      </c>
      <c r="T24" s="36">
        <v>0.5</v>
      </c>
      <c r="U24" s="28">
        <v>360</v>
      </c>
      <c r="V24" s="25">
        <v>182.10599999999999</v>
      </c>
      <c r="W24" s="36">
        <v>0.5</v>
      </c>
      <c r="X24" s="26">
        <v>285</v>
      </c>
      <c r="Y24" s="27">
        <v>173.905</v>
      </c>
      <c r="Z24" s="36">
        <v>0.5</v>
      </c>
      <c r="AA24" s="28">
        <v>210</v>
      </c>
      <c r="AB24" s="25">
        <v>173.625</v>
      </c>
      <c r="AC24" s="36">
        <v>0.5</v>
      </c>
      <c r="AD24" s="26">
        <v>143</v>
      </c>
      <c r="AE24" s="27">
        <v>101.02500000000001</v>
      </c>
      <c r="AF24" s="36">
        <v>0.5</v>
      </c>
      <c r="AG24" s="26">
        <v>310</v>
      </c>
      <c r="AH24" t="str">
        <f t="shared" si="0"/>
        <v>D</v>
      </c>
      <c r="AI24" s="66"/>
      <c r="AJ24" s="61" t="str">
        <f t="shared" si="1"/>
        <v>2025-02-17-5호방-304LDS1-N33305</v>
      </c>
    </row>
    <row r="25" spans="1:36" x14ac:dyDescent="0.4">
      <c r="A25" s="4">
        <v>24</v>
      </c>
      <c r="B25" s="2" t="s">
        <v>77</v>
      </c>
      <c r="C25" s="2" t="s">
        <v>96</v>
      </c>
      <c r="D25" s="2">
        <v>1</v>
      </c>
      <c r="E25" s="2" t="s">
        <v>179</v>
      </c>
      <c r="F25" s="2" t="s">
        <v>41</v>
      </c>
      <c r="G25" s="2">
        <v>320</v>
      </c>
      <c r="H25" s="2" t="s">
        <v>77</v>
      </c>
      <c r="I25" s="2" t="s">
        <v>204</v>
      </c>
      <c r="J25" s="2" t="s">
        <v>77</v>
      </c>
      <c r="K25" s="2" t="s">
        <v>205</v>
      </c>
      <c r="L25" s="5" t="s">
        <v>51</v>
      </c>
      <c r="M25" s="4"/>
      <c r="N25" s="2"/>
      <c r="O25" s="5" t="s">
        <v>305</v>
      </c>
      <c r="P25" s="25">
        <v>87.138900000000007</v>
      </c>
      <c r="Q25" s="36">
        <v>1.7140299999999999</v>
      </c>
      <c r="R25" s="26">
        <v>435</v>
      </c>
      <c r="S25" s="27">
        <v>173.905</v>
      </c>
      <c r="T25" s="36">
        <v>0.5</v>
      </c>
      <c r="U25" s="28">
        <v>360</v>
      </c>
      <c r="V25" s="25">
        <v>197.48400000000001</v>
      </c>
      <c r="W25" s="36">
        <v>0.5</v>
      </c>
      <c r="X25" s="26">
        <v>285</v>
      </c>
      <c r="Y25" s="27">
        <v>146.971</v>
      </c>
      <c r="Z25" s="36">
        <v>0.5</v>
      </c>
      <c r="AA25" s="28">
        <v>210</v>
      </c>
      <c r="AB25" s="25">
        <v>98.415700000000001</v>
      </c>
      <c r="AC25" s="36">
        <v>1.39798</v>
      </c>
      <c r="AD25" s="26">
        <v>285</v>
      </c>
      <c r="AE25" s="27">
        <v>40.540500000000002</v>
      </c>
      <c r="AF25" s="36">
        <v>0.75783</v>
      </c>
      <c r="AG25" s="26">
        <v>360</v>
      </c>
      <c r="AH25" t="str">
        <f t="shared" si="0"/>
        <v>D</v>
      </c>
      <c r="AI25" s="66"/>
      <c r="AJ25" s="61" t="str">
        <f t="shared" si="1"/>
        <v>2025-02-17-5호방-316LDS1-N33522</v>
      </c>
    </row>
    <row r="26" spans="1:36" x14ac:dyDescent="0.4">
      <c r="A26" s="4">
        <v>25</v>
      </c>
      <c r="B26" s="2" t="s">
        <v>77</v>
      </c>
      <c r="C26" s="2" t="s">
        <v>97</v>
      </c>
      <c r="D26" s="2">
        <v>1</v>
      </c>
      <c r="E26" s="2" t="s">
        <v>179</v>
      </c>
      <c r="F26" s="2" t="s">
        <v>41</v>
      </c>
      <c r="G26" s="2">
        <v>320</v>
      </c>
      <c r="H26" s="2" t="s">
        <v>77</v>
      </c>
      <c r="I26" s="2" t="s">
        <v>205</v>
      </c>
      <c r="J26" s="2" t="s">
        <v>77</v>
      </c>
      <c r="K26" s="2" t="s">
        <v>206</v>
      </c>
      <c r="L26" s="5" t="s">
        <v>52</v>
      </c>
      <c r="M26" s="4"/>
      <c r="N26" s="2"/>
      <c r="O26" s="5" t="s">
        <v>305</v>
      </c>
      <c r="P26" s="25">
        <v>49.860199999999999</v>
      </c>
      <c r="Q26" s="36">
        <v>0.62691200000000002</v>
      </c>
      <c r="R26" s="26">
        <v>445</v>
      </c>
      <c r="S26" s="27">
        <v>42.590899999999998</v>
      </c>
      <c r="T26" s="36">
        <v>1.07586</v>
      </c>
      <c r="U26" s="28">
        <v>435</v>
      </c>
      <c r="V26" s="25">
        <v>151.072</v>
      </c>
      <c r="W26" s="36">
        <v>1.81036</v>
      </c>
      <c r="X26" s="26">
        <v>395</v>
      </c>
      <c r="Y26" s="27">
        <v>156.57</v>
      </c>
      <c r="Z26" s="36">
        <v>0.5</v>
      </c>
      <c r="AA26" s="28">
        <v>340</v>
      </c>
      <c r="AB26" s="25">
        <v>184.06299999999999</v>
      </c>
      <c r="AC26" s="36">
        <v>0.5</v>
      </c>
      <c r="AD26" s="26">
        <v>285</v>
      </c>
      <c r="AE26" s="27">
        <v>188.53700000000001</v>
      </c>
      <c r="AF26" s="36">
        <v>0.5</v>
      </c>
      <c r="AG26" s="26">
        <v>210</v>
      </c>
      <c r="AH26" t="str">
        <f t="shared" si="0"/>
        <v>D</v>
      </c>
      <c r="AI26" s="66"/>
      <c r="AJ26" s="61" t="str">
        <f t="shared" si="1"/>
        <v>2025-02-17-5호방-316LDS1-N33522</v>
      </c>
    </row>
    <row r="27" spans="1:36" x14ac:dyDescent="0.4">
      <c r="A27" s="4">
        <v>26</v>
      </c>
      <c r="B27" s="2" t="s">
        <v>77</v>
      </c>
      <c r="C27" s="2" t="s">
        <v>98</v>
      </c>
      <c r="D27" s="2">
        <v>1</v>
      </c>
      <c r="E27" s="2" t="s">
        <v>179</v>
      </c>
      <c r="F27" s="2" t="s">
        <v>41</v>
      </c>
      <c r="G27" s="2">
        <v>320</v>
      </c>
      <c r="H27" s="2" t="s">
        <v>77</v>
      </c>
      <c r="I27" s="2" t="s">
        <v>206</v>
      </c>
      <c r="J27" s="2" t="s">
        <v>77</v>
      </c>
      <c r="K27" s="2" t="s">
        <v>207</v>
      </c>
      <c r="L27" s="5" t="s">
        <v>53</v>
      </c>
      <c r="M27" s="4"/>
      <c r="N27" s="2"/>
      <c r="O27" s="5" t="s">
        <v>305</v>
      </c>
      <c r="P27" s="25">
        <v>55.358800000000002</v>
      </c>
      <c r="Q27" s="36">
        <v>1.2254400000000001</v>
      </c>
      <c r="R27" s="26">
        <v>435</v>
      </c>
      <c r="S27" s="27">
        <v>157.40899999999999</v>
      </c>
      <c r="T27" s="36">
        <v>1.87642</v>
      </c>
      <c r="U27" s="28">
        <v>395</v>
      </c>
      <c r="V27" s="25">
        <v>150.41900000000001</v>
      </c>
      <c r="W27" s="36">
        <v>1.1336599999999999</v>
      </c>
      <c r="X27" s="26">
        <v>340</v>
      </c>
      <c r="Y27" s="27">
        <v>172.6</v>
      </c>
      <c r="Z27" s="36">
        <v>1.8296300000000001</v>
      </c>
      <c r="AA27" s="28">
        <v>285</v>
      </c>
      <c r="AB27" s="25">
        <v>185.648</v>
      </c>
      <c r="AC27" s="36">
        <v>0.5</v>
      </c>
      <c r="AD27" s="26">
        <v>210</v>
      </c>
      <c r="AE27" s="27">
        <v>187.512</v>
      </c>
      <c r="AF27" s="36">
        <v>0.5</v>
      </c>
      <c r="AG27" s="26">
        <v>143</v>
      </c>
      <c r="AH27" t="str">
        <f t="shared" si="0"/>
        <v>D</v>
      </c>
      <c r="AI27" s="66"/>
      <c r="AJ27" s="61" t="str">
        <f t="shared" si="1"/>
        <v>2025-02-17-5호방-316LDS1-N33522</v>
      </c>
    </row>
    <row r="28" spans="1:36" x14ac:dyDescent="0.2">
      <c r="A28" s="4">
        <v>27</v>
      </c>
      <c r="B28" s="2" t="s">
        <v>78</v>
      </c>
      <c r="C28" s="2" t="s">
        <v>99</v>
      </c>
      <c r="D28" s="2">
        <v>1</v>
      </c>
      <c r="E28" s="2" t="s">
        <v>180</v>
      </c>
      <c r="F28" s="2" t="s">
        <v>40</v>
      </c>
      <c r="G28" s="2">
        <v>267</v>
      </c>
      <c r="H28" s="2" t="s">
        <v>78</v>
      </c>
      <c r="I28" s="2" t="s">
        <v>208</v>
      </c>
      <c r="J28" s="2" t="s">
        <v>78</v>
      </c>
      <c r="K28" s="2" t="s">
        <v>209</v>
      </c>
      <c r="L28" s="5" t="s">
        <v>307</v>
      </c>
      <c r="M28" s="4"/>
      <c r="N28" s="2"/>
      <c r="O28" s="5" t="s">
        <v>306</v>
      </c>
      <c r="P28" s="25"/>
      <c r="Q28" s="53"/>
      <c r="R28" s="26"/>
      <c r="S28" s="27"/>
      <c r="T28" s="53"/>
      <c r="U28" s="28"/>
      <c r="V28" s="25"/>
      <c r="W28" s="53"/>
      <c r="X28" s="26"/>
      <c r="Y28" s="27"/>
      <c r="Z28" s="53"/>
      <c r="AA28" s="28"/>
      <c r="AB28" s="25"/>
      <c r="AC28" s="53"/>
      <c r="AD28" s="26"/>
      <c r="AE28" s="27"/>
      <c r="AF28" s="36"/>
      <c r="AG28" s="26"/>
      <c r="AI28" s="67" t="s">
        <v>325</v>
      </c>
      <c r="AJ28" s="72" t="str">
        <f t="shared" si="1"/>
        <v>2025-03-09-6호방-304LDS1-N33828</v>
      </c>
    </row>
    <row r="29" spans="1:36" x14ac:dyDescent="0.25">
      <c r="A29" s="4">
        <v>28</v>
      </c>
      <c r="B29" s="2" t="s">
        <v>78</v>
      </c>
      <c r="C29" s="2" t="s">
        <v>100</v>
      </c>
      <c r="D29" s="2">
        <v>1</v>
      </c>
      <c r="E29" s="2" t="s">
        <v>180</v>
      </c>
      <c r="F29" s="2" t="s">
        <v>40</v>
      </c>
      <c r="G29" s="2">
        <v>267</v>
      </c>
      <c r="H29" s="2" t="s">
        <v>78</v>
      </c>
      <c r="I29" s="2" t="s">
        <v>210</v>
      </c>
      <c r="J29" s="2" t="s">
        <v>78</v>
      </c>
      <c r="K29" s="2" t="s">
        <v>211</v>
      </c>
      <c r="L29" s="5" t="s">
        <v>309</v>
      </c>
      <c r="M29" s="4"/>
      <c r="N29" s="2"/>
      <c r="O29" s="5" t="s">
        <v>306</v>
      </c>
      <c r="P29" s="25"/>
      <c r="Q29" s="53"/>
      <c r="R29" s="26"/>
      <c r="S29" s="27"/>
      <c r="T29" s="53"/>
      <c r="U29" s="28"/>
      <c r="V29" s="25"/>
      <c r="W29" s="53"/>
      <c r="X29" s="26"/>
      <c r="Y29" s="27"/>
      <c r="Z29" s="53"/>
      <c r="AA29" s="28"/>
      <c r="AB29" s="25"/>
      <c r="AC29" s="53"/>
      <c r="AD29" s="26"/>
      <c r="AE29" s="27"/>
      <c r="AF29" s="36"/>
      <c r="AG29" s="26"/>
      <c r="AI29" s="68"/>
      <c r="AJ29" s="72" t="str">
        <f t="shared" si="1"/>
        <v>2025-03-09-6호방-304LDS1-N33828</v>
      </c>
    </row>
    <row r="30" spans="1:36" x14ac:dyDescent="0.25">
      <c r="A30" s="4">
        <v>29</v>
      </c>
      <c r="B30" s="2" t="s">
        <v>78</v>
      </c>
      <c r="C30" s="2" t="s">
        <v>101</v>
      </c>
      <c r="D30" s="2">
        <v>1</v>
      </c>
      <c r="E30" s="2" t="s">
        <v>180</v>
      </c>
      <c r="F30" s="2" t="s">
        <v>40</v>
      </c>
      <c r="G30" s="2">
        <v>267</v>
      </c>
      <c r="H30" s="2" t="s">
        <v>78</v>
      </c>
      <c r="I30" s="2" t="s">
        <v>211</v>
      </c>
      <c r="J30" s="2" t="s">
        <v>78</v>
      </c>
      <c r="K30" s="2" t="s">
        <v>212</v>
      </c>
      <c r="L30" s="5" t="s">
        <v>12</v>
      </c>
      <c r="M30" s="4"/>
      <c r="N30" s="2"/>
      <c r="O30" s="5" t="s">
        <v>306</v>
      </c>
      <c r="P30" s="25"/>
      <c r="Q30" s="53"/>
      <c r="R30" s="26"/>
      <c r="S30" s="27"/>
      <c r="T30" s="53"/>
      <c r="U30" s="28"/>
      <c r="V30" s="25"/>
      <c r="W30" s="53"/>
      <c r="X30" s="26"/>
      <c r="Y30" s="27"/>
      <c r="Z30" s="53"/>
      <c r="AA30" s="28"/>
      <c r="AB30" s="25"/>
      <c r="AC30" s="53"/>
      <c r="AD30" s="26"/>
      <c r="AE30" s="27"/>
      <c r="AF30" s="36"/>
      <c r="AG30" s="26"/>
      <c r="AI30" s="68"/>
      <c r="AJ30" s="72" t="str">
        <f t="shared" si="1"/>
        <v>2025-03-09-6호방-304LDS1-N33828</v>
      </c>
    </row>
    <row r="31" spans="1:36" x14ac:dyDescent="0.25">
      <c r="A31" s="4">
        <v>30</v>
      </c>
      <c r="B31" s="2" t="s">
        <v>78</v>
      </c>
      <c r="C31" s="2" t="s">
        <v>102</v>
      </c>
      <c r="D31" s="2">
        <v>1</v>
      </c>
      <c r="E31" s="2" t="s">
        <v>180</v>
      </c>
      <c r="F31" s="2" t="s">
        <v>40</v>
      </c>
      <c r="G31" s="2">
        <v>267</v>
      </c>
      <c r="H31" s="2" t="s">
        <v>78</v>
      </c>
      <c r="I31" s="2" t="s">
        <v>187</v>
      </c>
      <c r="J31" s="2" t="s">
        <v>78</v>
      </c>
      <c r="K31" s="2" t="s">
        <v>213</v>
      </c>
      <c r="L31" s="5" t="s">
        <v>13</v>
      </c>
      <c r="M31" s="4"/>
      <c r="N31" s="2"/>
      <c r="O31" s="5" t="s">
        <v>306</v>
      </c>
      <c r="P31" s="25">
        <v>60.391399999999997</v>
      </c>
      <c r="Q31" s="53">
        <v>1.15659</v>
      </c>
      <c r="R31" s="26">
        <v>415</v>
      </c>
      <c r="S31" s="27">
        <v>158.155</v>
      </c>
      <c r="T31" s="53">
        <v>1.94889</v>
      </c>
      <c r="U31" s="28">
        <v>370</v>
      </c>
      <c r="V31" s="25">
        <v>131.31399999999999</v>
      </c>
      <c r="W31" s="53">
        <v>1.42632</v>
      </c>
      <c r="X31" s="26">
        <v>320</v>
      </c>
      <c r="Y31" s="27">
        <v>166.26300000000001</v>
      </c>
      <c r="Z31" s="53">
        <v>1.67275</v>
      </c>
      <c r="AA31" s="28">
        <v>260</v>
      </c>
      <c r="AB31" s="25">
        <v>158.52699999999999</v>
      </c>
      <c r="AC31" s="53">
        <v>1.6639299999999999</v>
      </c>
      <c r="AD31" s="26">
        <v>200</v>
      </c>
      <c r="AE31" s="27">
        <v>153.029</v>
      </c>
      <c r="AF31" s="36">
        <v>1.8039400000000001</v>
      </c>
      <c r="AG31" s="26">
        <v>140</v>
      </c>
      <c r="AH31" t="str">
        <f t="shared" si="0"/>
        <v>U</v>
      </c>
      <c r="AI31" s="68"/>
      <c r="AJ31" s="72" t="str">
        <f t="shared" si="1"/>
        <v>2025-03-09-6호방-304LDS1-N33828</v>
      </c>
    </row>
    <row r="32" spans="1:36" x14ac:dyDescent="0.25">
      <c r="A32" s="4">
        <v>31</v>
      </c>
      <c r="B32" s="2" t="s">
        <v>78</v>
      </c>
      <c r="C32" s="2" t="s">
        <v>103</v>
      </c>
      <c r="D32" s="2">
        <v>1</v>
      </c>
      <c r="E32" s="2" t="s">
        <v>181</v>
      </c>
      <c r="F32" s="2" t="s">
        <v>40</v>
      </c>
      <c r="G32" s="2">
        <v>267</v>
      </c>
      <c r="H32" s="2" t="s">
        <v>78</v>
      </c>
      <c r="I32" s="2" t="s">
        <v>213</v>
      </c>
      <c r="J32" s="2" t="s">
        <v>78</v>
      </c>
      <c r="K32" s="2" t="s">
        <v>214</v>
      </c>
      <c r="L32" s="5" t="s">
        <v>14</v>
      </c>
      <c r="M32" s="4"/>
      <c r="N32" s="2"/>
      <c r="O32" s="5" t="s">
        <v>306</v>
      </c>
      <c r="P32" s="25">
        <v>64.585300000000004</v>
      </c>
      <c r="Q32" s="53">
        <v>1.2254</v>
      </c>
      <c r="R32" s="26">
        <v>415</v>
      </c>
      <c r="S32" s="27">
        <v>148.369</v>
      </c>
      <c r="T32" s="53">
        <v>2.0241199999999999</v>
      </c>
      <c r="U32" s="28">
        <v>370</v>
      </c>
      <c r="V32" s="25">
        <v>128.239</v>
      </c>
      <c r="W32" s="53">
        <v>1.5593399999999999</v>
      </c>
      <c r="X32" s="26">
        <v>320</v>
      </c>
      <c r="Y32" s="27">
        <v>157.78200000000001</v>
      </c>
      <c r="Z32" s="53">
        <v>1.78467</v>
      </c>
      <c r="AA32" s="28">
        <v>260</v>
      </c>
      <c r="AB32" s="25">
        <v>150.97900000000001</v>
      </c>
      <c r="AC32" s="53">
        <v>1.6335500000000001</v>
      </c>
      <c r="AD32" s="26">
        <v>200</v>
      </c>
      <c r="AE32" s="27">
        <v>156.477</v>
      </c>
      <c r="AF32" s="36">
        <v>1.73055</v>
      </c>
      <c r="AG32" s="26">
        <v>140</v>
      </c>
      <c r="AH32" t="str">
        <f t="shared" si="0"/>
        <v>U</v>
      </c>
      <c r="AI32" s="68"/>
      <c r="AJ32" s="72" t="str">
        <f t="shared" si="1"/>
        <v>2025-03-09-6호방-304LDS1-N33693</v>
      </c>
    </row>
    <row r="33" spans="1:36" x14ac:dyDescent="0.25">
      <c r="A33" s="4">
        <v>32</v>
      </c>
      <c r="B33" s="2" t="s">
        <v>78</v>
      </c>
      <c r="C33" s="2" t="s">
        <v>104</v>
      </c>
      <c r="D33" s="2">
        <v>1</v>
      </c>
      <c r="E33" s="2" t="s">
        <v>181</v>
      </c>
      <c r="F33" s="2" t="s">
        <v>40</v>
      </c>
      <c r="G33" s="2">
        <v>267</v>
      </c>
      <c r="H33" s="2" t="s">
        <v>78</v>
      </c>
      <c r="I33" s="2" t="s">
        <v>214</v>
      </c>
      <c r="J33" s="2" t="s">
        <v>78</v>
      </c>
      <c r="K33" s="2" t="s">
        <v>215</v>
      </c>
      <c r="L33" s="5" t="s">
        <v>310</v>
      </c>
      <c r="M33" s="4"/>
      <c r="N33" s="2"/>
      <c r="O33" s="5" t="s">
        <v>306</v>
      </c>
      <c r="P33" s="25">
        <v>67.101600000000005</v>
      </c>
      <c r="Q33" s="53">
        <v>1.08412</v>
      </c>
      <c r="R33" s="26">
        <v>415</v>
      </c>
      <c r="S33" s="27">
        <v>140.63399999999999</v>
      </c>
      <c r="T33" s="53">
        <v>1.58284</v>
      </c>
      <c r="U33" s="28">
        <v>370</v>
      </c>
      <c r="V33" s="25">
        <v>134.11000000000001</v>
      </c>
      <c r="W33" s="53">
        <v>1.42127</v>
      </c>
      <c r="X33" s="26">
        <v>320</v>
      </c>
      <c r="Y33" s="27">
        <v>168.87200000000001</v>
      </c>
      <c r="Z33" s="53">
        <v>1.5342199999999999</v>
      </c>
      <c r="AA33" s="28">
        <v>260</v>
      </c>
      <c r="AB33" s="25">
        <v>159.18</v>
      </c>
      <c r="AC33" s="53">
        <v>1.59971</v>
      </c>
      <c r="AD33" s="26">
        <v>200</v>
      </c>
      <c r="AE33" s="27">
        <v>164.958</v>
      </c>
      <c r="AF33" s="36">
        <v>1.4911000000000001</v>
      </c>
      <c r="AG33" s="26">
        <v>140</v>
      </c>
      <c r="AH33" t="str">
        <f t="shared" si="0"/>
        <v>D</v>
      </c>
      <c r="AI33" s="68"/>
      <c r="AJ33" s="72" t="str">
        <f t="shared" si="1"/>
        <v>2025-03-09-6호방-304LDS1-N33693</v>
      </c>
    </row>
    <row r="34" spans="1:36" x14ac:dyDescent="0.25">
      <c r="A34" s="4">
        <v>33</v>
      </c>
      <c r="B34" s="2" t="s">
        <v>78</v>
      </c>
      <c r="C34" s="2" t="s">
        <v>105</v>
      </c>
      <c r="D34" s="2">
        <v>1</v>
      </c>
      <c r="E34" s="2" t="s">
        <v>181</v>
      </c>
      <c r="F34" s="2" t="s">
        <v>40</v>
      </c>
      <c r="G34" s="2">
        <v>270</v>
      </c>
      <c r="H34" s="2" t="s">
        <v>78</v>
      </c>
      <c r="I34" s="2" t="s">
        <v>215</v>
      </c>
      <c r="J34" s="2" t="s">
        <v>78</v>
      </c>
      <c r="K34" s="2" t="s">
        <v>216</v>
      </c>
      <c r="L34" s="5" t="s">
        <v>51</v>
      </c>
      <c r="M34" s="4"/>
      <c r="N34" s="2"/>
      <c r="O34" s="5" t="s">
        <v>306</v>
      </c>
      <c r="P34" s="25">
        <v>69.245099999999994</v>
      </c>
      <c r="Q34" s="53">
        <v>1.02173</v>
      </c>
      <c r="R34" s="26">
        <v>415</v>
      </c>
      <c r="S34" s="27">
        <v>173.43899999999999</v>
      </c>
      <c r="T34" s="53">
        <v>1.99522</v>
      </c>
      <c r="U34" s="28">
        <v>370</v>
      </c>
      <c r="V34" s="25">
        <v>149.02099999999999</v>
      </c>
      <c r="W34" s="53">
        <v>1.3107200000000001</v>
      </c>
      <c r="X34" s="26">
        <v>320</v>
      </c>
      <c r="Y34" s="27">
        <v>180.52199999999999</v>
      </c>
      <c r="Z34" s="53">
        <v>1.5392600000000001</v>
      </c>
      <c r="AA34" s="28">
        <v>260</v>
      </c>
      <c r="AB34" s="25">
        <v>175.76900000000001</v>
      </c>
      <c r="AC34" s="53">
        <v>1.5240199999999999</v>
      </c>
      <c r="AD34" s="26">
        <v>200</v>
      </c>
      <c r="AE34" s="27">
        <v>168.779</v>
      </c>
      <c r="AF34" s="36">
        <v>1.59568</v>
      </c>
      <c r="AG34" s="26">
        <v>140</v>
      </c>
      <c r="AH34" t="str">
        <f t="shared" si="0"/>
        <v>D</v>
      </c>
      <c r="AI34" s="68"/>
      <c r="AJ34" s="72" t="str">
        <f t="shared" si="1"/>
        <v>2025-03-09-6호방-304LDS1-N33693</v>
      </c>
    </row>
    <row r="35" spans="1:36" x14ac:dyDescent="0.25">
      <c r="A35" s="4">
        <v>34</v>
      </c>
      <c r="B35" s="2" t="s">
        <v>78</v>
      </c>
      <c r="C35" s="2" t="s">
        <v>106</v>
      </c>
      <c r="D35" s="2">
        <v>1</v>
      </c>
      <c r="E35" s="2" t="s">
        <v>181</v>
      </c>
      <c r="F35" s="2" t="s">
        <v>40</v>
      </c>
      <c r="G35" s="2">
        <v>270</v>
      </c>
      <c r="H35" s="2" t="s">
        <v>78</v>
      </c>
      <c r="I35" s="2" t="s">
        <v>216</v>
      </c>
      <c r="J35" s="2" t="s">
        <v>78</v>
      </c>
      <c r="K35" s="2" t="s">
        <v>217</v>
      </c>
      <c r="L35" s="5" t="s">
        <v>52</v>
      </c>
      <c r="M35" s="4"/>
      <c r="N35" s="2"/>
      <c r="O35" s="5" t="s">
        <v>306</v>
      </c>
      <c r="P35" s="25">
        <v>69.338300000000004</v>
      </c>
      <c r="Q35" s="53">
        <v>1.12724</v>
      </c>
      <c r="R35" s="26">
        <v>415</v>
      </c>
      <c r="S35" s="27">
        <v>160.01900000000001</v>
      </c>
      <c r="T35" s="53">
        <v>1.64523</v>
      </c>
      <c r="U35" s="28">
        <v>370</v>
      </c>
      <c r="V35" s="25">
        <v>144.45500000000001</v>
      </c>
      <c r="W35" s="53">
        <v>1.31714</v>
      </c>
      <c r="X35" s="26">
        <v>320</v>
      </c>
      <c r="Y35" s="27">
        <v>174.55699999999999</v>
      </c>
      <c r="Z35" s="53">
        <v>1.6690799999999999</v>
      </c>
      <c r="AA35" s="28">
        <v>260</v>
      </c>
      <c r="AB35" s="25">
        <v>173.625</v>
      </c>
      <c r="AC35" s="53">
        <v>1.2885599999999999</v>
      </c>
      <c r="AD35" s="26">
        <v>200</v>
      </c>
      <c r="AE35" s="27">
        <v>170.363</v>
      </c>
      <c r="AF35" s="36">
        <v>1.6002700000000001</v>
      </c>
      <c r="AG35" s="26">
        <v>140</v>
      </c>
      <c r="AH35" t="str">
        <f t="shared" si="0"/>
        <v>D</v>
      </c>
      <c r="AI35" s="68"/>
      <c r="AJ35" s="72" t="str">
        <f t="shared" si="1"/>
        <v>2025-03-09-6호방-304LDS1-N33693</v>
      </c>
    </row>
    <row r="36" spans="1:36" x14ac:dyDescent="0.25">
      <c r="A36" s="4">
        <v>35</v>
      </c>
      <c r="B36" s="2" t="s">
        <v>78</v>
      </c>
      <c r="C36" s="2" t="s">
        <v>107</v>
      </c>
      <c r="D36" s="2">
        <v>1</v>
      </c>
      <c r="E36" s="2" t="s">
        <v>181</v>
      </c>
      <c r="F36" s="2" t="s">
        <v>40</v>
      </c>
      <c r="G36" s="2">
        <v>270</v>
      </c>
      <c r="H36" s="2" t="s">
        <v>78</v>
      </c>
      <c r="I36" s="2" t="s">
        <v>218</v>
      </c>
      <c r="J36" s="2" t="s">
        <v>78</v>
      </c>
      <c r="K36" s="2" t="s">
        <v>219</v>
      </c>
      <c r="L36" s="5" t="s">
        <v>53</v>
      </c>
      <c r="M36" s="4"/>
      <c r="N36" s="2"/>
      <c r="O36" s="5" t="s">
        <v>306</v>
      </c>
      <c r="P36" s="25">
        <v>63.000900000000001</v>
      </c>
      <c r="Q36" s="53">
        <v>1.14375</v>
      </c>
      <c r="R36" s="26">
        <v>415</v>
      </c>
      <c r="S36" s="27">
        <v>132.43199999999999</v>
      </c>
      <c r="T36" s="53">
        <v>1.64981</v>
      </c>
      <c r="U36" s="28">
        <v>370</v>
      </c>
      <c r="V36" s="25">
        <v>137.93100000000001</v>
      </c>
      <c r="W36" s="53">
        <v>1.4712700000000001</v>
      </c>
      <c r="X36" s="26">
        <v>320</v>
      </c>
      <c r="Y36" s="27">
        <v>173.25299999999999</v>
      </c>
      <c r="Z36" s="53">
        <v>1.5984400000000001</v>
      </c>
      <c r="AA36" s="28">
        <v>260</v>
      </c>
      <c r="AB36" s="25">
        <v>167.47399999999999</v>
      </c>
      <c r="AC36" s="53">
        <v>1.5703499999999999</v>
      </c>
      <c r="AD36" s="26">
        <v>200</v>
      </c>
      <c r="AE36" s="27">
        <v>162.721</v>
      </c>
      <c r="AF36" s="36">
        <v>1.68834</v>
      </c>
      <c r="AG36" s="26">
        <v>140</v>
      </c>
      <c r="AH36" t="str">
        <f t="shared" si="0"/>
        <v>D</v>
      </c>
      <c r="AI36" s="68"/>
      <c r="AJ36" s="72" t="str">
        <f t="shared" si="1"/>
        <v>2025-03-09-6호방-304LDS1-N33693</v>
      </c>
    </row>
    <row r="37" spans="1:36" x14ac:dyDescent="0.25">
      <c r="A37" s="4">
        <v>36</v>
      </c>
      <c r="B37" s="2" t="s">
        <v>78</v>
      </c>
      <c r="C37" s="2" t="s">
        <v>108</v>
      </c>
      <c r="D37" s="2">
        <v>1</v>
      </c>
      <c r="E37" s="2" t="s">
        <v>181</v>
      </c>
      <c r="F37" s="2" t="s">
        <v>40</v>
      </c>
      <c r="G37" s="2">
        <v>270</v>
      </c>
      <c r="H37" s="2" t="s">
        <v>78</v>
      </c>
      <c r="I37" s="2" t="s">
        <v>219</v>
      </c>
      <c r="J37" s="2" t="s">
        <v>78</v>
      </c>
      <c r="K37" s="2" t="s">
        <v>220</v>
      </c>
      <c r="L37" s="5" t="s">
        <v>54</v>
      </c>
      <c r="M37" s="4"/>
      <c r="N37" s="2"/>
      <c r="O37" s="5" t="s">
        <v>306</v>
      </c>
      <c r="P37" s="25">
        <v>69.058700000000002</v>
      </c>
      <c r="Q37" s="53">
        <v>1.20614</v>
      </c>
      <c r="R37" s="26">
        <v>415</v>
      </c>
      <c r="S37" s="27">
        <v>146.785</v>
      </c>
      <c r="T37" s="53">
        <v>1.8461399999999999</v>
      </c>
      <c r="U37" s="28">
        <v>370</v>
      </c>
      <c r="V37" s="25">
        <v>139.04900000000001</v>
      </c>
      <c r="W37" s="53">
        <v>1.41347</v>
      </c>
      <c r="X37" s="26">
        <v>320</v>
      </c>
      <c r="Y37" s="27">
        <v>162.255</v>
      </c>
      <c r="Z37" s="53">
        <v>1.7626599999999999</v>
      </c>
      <c r="AA37" s="28">
        <v>260</v>
      </c>
      <c r="AB37" s="25">
        <v>163.65299999999999</v>
      </c>
      <c r="AC37" s="53">
        <v>1.5960399999999999</v>
      </c>
      <c r="AD37" s="26">
        <v>200</v>
      </c>
      <c r="AE37" s="27">
        <v>158.99299999999999</v>
      </c>
      <c r="AF37" s="36">
        <v>1.6612800000000001</v>
      </c>
      <c r="AG37" s="26">
        <v>140</v>
      </c>
      <c r="AH37" t="str">
        <f t="shared" si="0"/>
        <v>D</v>
      </c>
      <c r="AI37" s="68"/>
      <c r="AJ37" s="72" t="str">
        <f t="shared" si="1"/>
        <v>2025-03-09-6호방-304LDS1-N33693</v>
      </c>
    </row>
    <row r="38" spans="1:36" s="82" customFormat="1" x14ac:dyDescent="0.2">
      <c r="A38" s="73">
        <v>37</v>
      </c>
      <c r="B38" s="74" t="s">
        <v>78</v>
      </c>
      <c r="C38" s="74" t="s">
        <v>109</v>
      </c>
      <c r="D38" s="74">
        <v>1</v>
      </c>
      <c r="E38" s="74" t="s">
        <v>182</v>
      </c>
      <c r="F38" s="74" t="s">
        <v>41</v>
      </c>
      <c r="G38" s="74">
        <v>270</v>
      </c>
      <c r="H38" s="74" t="s">
        <v>78</v>
      </c>
      <c r="I38" s="74" t="s">
        <v>221</v>
      </c>
      <c r="J38" s="74" t="s">
        <v>78</v>
      </c>
      <c r="K38" s="74" t="s">
        <v>222</v>
      </c>
      <c r="L38" s="75" t="s">
        <v>307</v>
      </c>
      <c r="M38" s="73"/>
      <c r="N38" s="74"/>
      <c r="O38" s="75" t="s">
        <v>304</v>
      </c>
      <c r="P38" s="76">
        <v>68.1267</v>
      </c>
      <c r="Q38" s="77">
        <v>1.1772400000000001</v>
      </c>
      <c r="R38" s="78">
        <v>415</v>
      </c>
      <c r="S38" s="79">
        <v>133.458</v>
      </c>
      <c r="T38" s="77">
        <v>1.81541</v>
      </c>
      <c r="U38" s="80">
        <v>370</v>
      </c>
      <c r="V38" s="76">
        <v>127.866</v>
      </c>
      <c r="W38" s="77">
        <v>1.5382400000000001</v>
      </c>
      <c r="X38" s="78">
        <v>320</v>
      </c>
      <c r="Y38" s="79">
        <v>178.37799999999999</v>
      </c>
      <c r="Z38" s="77">
        <v>1.5122</v>
      </c>
      <c r="AA38" s="80">
        <v>260</v>
      </c>
      <c r="AB38" s="76">
        <v>165.797</v>
      </c>
      <c r="AC38" s="77">
        <v>1.5547599999999999</v>
      </c>
      <c r="AD38" s="78">
        <v>200</v>
      </c>
      <c r="AE38" s="79">
        <v>169.059</v>
      </c>
      <c r="AF38" s="81">
        <v>1.6773400000000001</v>
      </c>
      <c r="AG38" s="78">
        <v>140</v>
      </c>
      <c r="AH38" s="82" t="str">
        <f t="shared" si="0"/>
        <v>U</v>
      </c>
      <c r="AI38" s="83" t="s">
        <v>323</v>
      </c>
      <c r="AJ38" s="84" t="str">
        <f t="shared" si="1"/>
        <v>2025-03-09-7호방-316LDS1-N33671</v>
      </c>
    </row>
    <row r="39" spans="1:36" s="82" customFormat="1" x14ac:dyDescent="0.4">
      <c r="A39" s="73">
        <v>38</v>
      </c>
      <c r="B39" s="74" t="s">
        <v>78</v>
      </c>
      <c r="C39" s="74" t="s">
        <v>110</v>
      </c>
      <c r="D39" s="74">
        <v>1</v>
      </c>
      <c r="E39" s="74" t="s">
        <v>182</v>
      </c>
      <c r="F39" s="74" t="s">
        <v>41</v>
      </c>
      <c r="G39" s="74">
        <v>270</v>
      </c>
      <c r="H39" s="74" t="s">
        <v>78</v>
      </c>
      <c r="I39" s="74" t="s">
        <v>222</v>
      </c>
      <c r="J39" s="74" t="s">
        <v>78</v>
      </c>
      <c r="K39" s="74" t="s">
        <v>223</v>
      </c>
      <c r="L39" s="75" t="s">
        <v>309</v>
      </c>
      <c r="M39" s="73"/>
      <c r="N39" s="74"/>
      <c r="O39" s="75" t="s">
        <v>304</v>
      </c>
      <c r="P39" s="76">
        <v>69.990700000000004</v>
      </c>
      <c r="Q39" s="77">
        <v>1.1997100000000001</v>
      </c>
      <c r="R39" s="78">
        <v>415</v>
      </c>
      <c r="S39" s="79">
        <v>130.56800000000001</v>
      </c>
      <c r="T39" s="77">
        <v>1.83467</v>
      </c>
      <c r="U39" s="80">
        <v>370</v>
      </c>
      <c r="V39" s="76">
        <v>129.82300000000001</v>
      </c>
      <c r="W39" s="77">
        <v>1.48549</v>
      </c>
      <c r="X39" s="78">
        <v>320</v>
      </c>
      <c r="Y39" s="79">
        <v>159.739</v>
      </c>
      <c r="Z39" s="77">
        <v>1.7782500000000001</v>
      </c>
      <c r="AA39" s="80">
        <v>260</v>
      </c>
      <c r="AB39" s="76">
        <v>160.20500000000001</v>
      </c>
      <c r="AC39" s="77">
        <v>1.6235599999999999</v>
      </c>
      <c r="AD39" s="78">
        <v>200</v>
      </c>
      <c r="AE39" s="79">
        <v>159.92500000000001</v>
      </c>
      <c r="AF39" s="81">
        <v>1.8076099999999999</v>
      </c>
      <c r="AG39" s="78">
        <v>140</v>
      </c>
      <c r="AH39" s="82" t="str">
        <f t="shared" si="0"/>
        <v>U</v>
      </c>
      <c r="AI39" s="85"/>
      <c r="AJ39" s="84" t="str">
        <f t="shared" si="1"/>
        <v>2025-03-09-7호방-316LDS1-N33671</v>
      </c>
    </row>
    <row r="40" spans="1:36" s="82" customFormat="1" x14ac:dyDescent="0.4">
      <c r="A40" s="73">
        <v>39</v>
      </c>
      <c r="B40" s="74" t="s">
        <v>78</v>
      </c>
      <c r="C40" s="74" t="s">
        <v>111</v>
      </c>
      <c r="D40" s="74">
        <v>1</v>
      </c>
      <c r="E40" s="74" t="s">
        <v>182</v>
      </c>
      <c r="F40" s="74" t="s">
        <v>41</v>
      </c>
      <c r="G40" s="74">
        <v>267</v>
      </c>
      <c r="H40" s="74" t="s">
        <v>78</v>
      </c>
      <c r="I40" s="74" t="s">
        <v>223</v>
      </c>
      <c r="J40" s="74" t="s">
        <v>78</v>
      </c>
      <c r="K40" s="74" t="s">
        <v>224</v>
      </c>
      <c r="L40" s="75" t="s">
        <v>12</v>
      </c>
      <c r="M40" s="73"/>
      <c r="N40" s="74"/>
      <c r="O40" s="75" t="s">
        <v>304</v>
      </c>
      <c r="P40" s="76">
        <v>60.764200000000002</v>
      </c>
      <c r="Q40" s="77">
        <v>1.2978799999999999</v>
      </c>
      <c r="R40" s="78">
        <v>415</v>
      </c>
      <c r="S40" s="79">
        <v>149.39400000000001</v>
      </c>
      <c r="T40" s="77">
        <v>1.7062299999999999</v>
      </c>
      <c r="U40" s="80">
        <v>370</v>
      </c>
      <c r="V40" s="76">
        <v>128.239</v>
      </c>
      <c r="W40" s="77">
        <v>1.35568</v>
      </c>
      <c r="X40" s="78">
        <v>320</v>
      </c>
      <c r="Y40" s="79">
        <v>160.48500000000001</v>
      </c>
      <c r="Z40" s="77">
        <v>1.73834</v>
      </c>
      <c r="AA40" s="80">
        <v>260</v>
      </c>
      <c r="AB40" s="76">
        <v>159.36600000000001</v>
      </c>
      <c r="AC40" s="77">
        <v>1.6602600000000001</v>
      </c>
      <c r="AD40" s="78">
        <v>200</v>
      </c>
      <c r="AE40" s="79">
        <v>158.714</v>
      </c>
      <c r="AF40" s="81">
        <v>1.7351300000000001</v>
      </c>
      <c r="AG40" s="78">
        <v>140</v>
      </c>
      <c r="AH40" s="82" t="str">
        <f t="shared" si="0"/>
        <v>U</v>
      </c>
      <c r="AI40" s="85"/>
      <c r="AJ40" s="84" t="str">
        <f t="shared" si="1"/>
        <v>2025-03-09-7호방-316LDS1-N33671</v>
      </c>
    </row>
    <row r="41" spans="1:36" s="82" customFormat="1" x14ac:dyDescent="0.4">
      <c r="A41" s="73">
        <v>40</v>
      </c>
      <c r="B41" s="74" t="s">
        <v>78</v>
      </c>
      <c r="C41" s="74" t="s">
        <v>112</v>
      </c>
      <c r="D41" s="74">
        <v>1</v>
      </c>
      <c r="E41" s="74" t="s">
        <v>182</v>
      </c>
      <c r="F41" s="74" t="s">
        <v>41</v>
      </c>
      <c r="G41" s="74">
        <v>267</v>
      </c>
      <c r="H41" s="74" t="s">
        <v>78</v>
      </c>
      <c r="I41" s="74" t="s">
        <v>224</v>
      </c>
      <c r="J41" s="74" t="s">
        <v>78</v>
      </c>
      <c r="K41" s="74" t="s">
        <v>225</v>
      </c>
      <c r="L41" s="75" t="s">
        <v>13</v>
      </c>
      <c r="M41" s="73"/>
      <c r="N41" s="74"/>
      <c r="O41" s="75" t="s">
        <v>304</v>
      </c>
      <c r="P41" s="76">
        <v>56.104399999999998</v>
      </c>
      <c r="Q41" s="77">
        <v>1.2221900000000001</v>
      </c>
      <c r="R41" s="78">
        <v>415</v>
      </c>
      <c r="S41" s="79">
        <v>146.13200000000001</v>
      </c>
      <c r="T41" s="77">
        <v>2.0209100000000002</v>
      </c>
      <c r="U41" s="80">
        <v>370</v>
      </c>
      <c r="V41" s="76">
        <v>122.554</v>
      </c>
      <c r="W41" s="77">
        <v>1.5804499999999999</v>
      </c>
      <c r="X41" s="78">
        <v>320</v>
      </c>
      <c r="Y41" s="79">
        <v>152.749</v>
      </c>
      <c r="Z41" s="77">
        <v>1.7755000000000001</v>
      </c>
      <c r="AA41" s="80">
        <v>260</v>
      </c>
      <c r="AB41" s="76">
        <v>155.26599999999999</v>
      </c>
      <c r="AC41" s="77">
        <v>1.62035</v>
      </c>
      <c r="AD41" s="78">
        <v>200</v>
      </c>
      <c r="AE41" s="79">
        <v>166.07599999999999</v>
      </c>
      <c r="AF41" s="81">
        <v>1.5713699999999999</v>
      </c>
      <c r="AG41" s="78">
        <v>140</v>
      </c>
      <c r="AH41" s="82" t="str">
        <f t="shared" si="0"/>
        <v>U</v>
      </c>
      <c r="AI41" s="85"/>
      <c r="AJ41" s="84" t="str">
        <f t="shared" si="1"/>
        <v>2025-03-09-7호방-316LDS1-N33671</v>
      </c>
    </row>
    <row r="42" spans="1:36" s="82" customFormat="1" x14ac:dyDescent="0.4">
      <c r="A42" s="73">
        <v>41</v>
      </c>
      <c r="B42" s="74" t="s">
        <v>78</v>
      </c>
      <c r="C42" s="74" t="s">
        <v>113</v>
      </c>
      <c r="D42" s="74">
        <v>1</v>
      </c>
      <c r="E42" s="74" t="s">
        <v>182</v>
      </c>
      <c r="F42" s="74" t="s">
        <v>41</v>
      </c>
      <c r="G42" s="74">
        <v>267</v>
      </c>
      <c r="H42" s="74" t="s">
        <v>78</v>
      </c>
      <c r="I42" s="74" t="s">
        <v>225</v>
      </c>
      <c r="J42" s="74" t="s">
        <v>78</v>
      </c>
      <c r="K42" s="74" t="s">
        <v>226</v>
      </c>
      <c r="L42" s="75" t="s">
        <v>14</v>
      </c>
      <c r="M42" s="73"/>
      <c r="N42" s="74"/>
      <c r="O42" s="75" t="s">
        <v>304</v>
      </c>
      <c r="P42" s="76">
        <v>65.144499999999994</v>
      </c>
      <c r="Q42" s="77">
        <v>1.2556799999999999</v>
      </c>
      <c r="R42" s="78">
        <v>415</v>
      </c>
      <c r="S42" s="79">
        <v>133.27099999999999</v>
      </c>
      <c r="T42" s="77">
        <v>1.7672399999999999</v>
      </c>
      <c r="U42" s="80">
        <v>370</v>
      </c>
      <c r="V42" s="76">
        <v>120.596</v>
      </c>
      <c r="W42" s="77">
        <v>1.70384</v>
      </c>
      <c r="X42" s="78">
        <v>320</v>
      </c>
      <c r="Y42" s="79">
        <v>155.35900000000001</v>
      </c>
      <c r="Z42" s="77">
        <v>1.81403</v>
      </c>
      <c r="AA42" s="80">
        <v>260</v>
      </c>
      <c r="AB42" s="76">
        <v>149.11500000000001</v>
      </c>
      <c r="AC42" s="77">
        <v>1.8675999999999999</v>
      </c>
      <c r="AD42" s="78">
        <v>200</v>
      </c>
      <c r="AE42" s="79">
        <v>149.58099999999999</v>
      </c>
      <c r="AF42" s="81">
        <v>1.83972</v>
      </c>
      <c r="AG42" s="78">
        <v>140</v>
      </c>
      <c r="AH42" s="82" t="str">
        <f t="shared" si="0"/>
        <v>U</v>
      </c>
      <c r="AI42" s="85"/>
      <c r="AJ42" s="84" t="str">
        <f t="shared" si="1"/>
        <v>2025-03-09-7호방-316LDS1-N33671</v>
      </c>
    </row>
    <row r="43" spans="1:36" s="82" customFormat="1" x14ac:dyDescent="0.4">
      <c r="A43" s="73">
        <v>42</v>
      </c>
      <c r="B43" s="74" t="s">
        <v>78</v>
      </c>
      <c r="C43" s="74" t="s">
        <v>114</v>
      </c>
      <c r="D43" s="74">
        <v>1</v>
      </c>
      <c r="E43" s="74" t="s">
        <v>182</v>
      </c>
      <c r="F43" s="74" t="s">
        <v>41</v>
      </c>
      <c r="G43" s="74">
        <v>267</v>
      </c>
      <c r="H43" s="74" t="s">
        <v>78</v>
      </c>
      <c r="I43" s="74" t="s">
        <v>227</v>
      </c>
      <c r="J43" s="74" t="s">
        <v>78</v>
      </c>
      <c r="K43" s="74" t="s">
        <v>228</v>
      </c>
      <c r="L43" s="75" t="s">
        <v>310</v>
      </c>
      <c r="M43" s="73"/>
      <c r="N43" s="74"/>
      <c r="O43" s="75" t="s">
        <v>304</v>
      </c>
      <c r="P43" s="76">
        <v>63.373699999999999</v>
      </c>
      <c r="Q43" s="77">
        <v>2.0364100000000001</v>
      </c>
      <c r="R43" s="78">
        <v>415</v>
      </c>
      <c r="S43" s="79">
        <v>111.65</v>
      </c>
      <c r="T43" s="77">
        <v>1.83788</v>
      </c>
      <c r="U43" s="80">
        <v>370</v>
      </c>
      <c r="V43" s="76">
        <v>131.87299999999999</v>
      </c>
      <c r="W43" s="77">
        <v>1.4341200000000001</v>
      </c>
      <c r="X43" s="78">
        <v>320</v>
      </c>
      <c r="Y43" s="79">
        <v>184.529</v>
      </c>
      <c r="Z43" s="77">
        <v>1.4956799999999999</v>
      </c>
      <c r="AA43" s="80">
        <v>260</v>
      </c>
      <c r="AB43" s="76">
        <v>168.96600000000001</v>
      </c>
      <c r="AC43" s="77">
        <v>0.56999999999999995</v>
      </c>
      <c r="AD43" s="78">
        <v>200</v>
      </c>
      <c r="AE43" s="79">
        <v>170.73599999999999</v>
      </c>
      <c r="AF43" s="81">
        <v>2.0222899999999999</v>
      </c>
      <c r="AG43" s="78">
        <v>140</v>
      </c>
      <c r="AH43" s="82" t="str">
        <f t="shared" si="0"/>
        <v>D</v>
      </c>
      <c r="AI43" s="85"/>
      <c r="AJ43" s="84" t="str">
        <f t="shared" si="1"/>
        <v>2025-03-09-7호방-316LDS1-N33671</v>
      </c>
    </row>
    <row r="44" spans="1:36" s="82" customFormat="1" x14ac:dyDescent="0.4">
      <c r="A44" s="73">
        <v>43</v>
      </c>
      <c r="B44" s="74" t="s">
        <v>78</v>
      </c>
      <c r="C44" s="74" t="s">
        <v>115</v>
      </c>
      <c r="D44" s="74">
        <v>1</v>
      </c>
      <c r="E44" s="74" t="s">
        <v>182</v>
      </c>
      <c r="F44" s="74" t="s">
        <v>41</v>
      </c>
      <c r="G44" s="74">
        <v>267</v>
      </c>
      <c r="H44" s="74" t="s">
        <v>78</v>
      </c>
      <c r="I44" s="74" t="s">
        <v>228</v>
      </c>
      <c r="J44" s="74" t="s">
        <v>78</v>
      </c>
      <c r="K44" s="74" t="s">
        <v>229</v>
      </c>
      <c r="L44" s="75" t="s">
        <v>51</v>
      </c>
      <c r="M44" s="73"/>
      <c r="N44" s="74"/>
      <c r="O44" s="75" t="s">
        <v>304</v>
      </c>
      <c r="P44" s="76">
        <v>68.499499999999998</v>
      </c>
      <c r="Q44" s="77">
        <v>1.19513</v>
      </c>
      <c r="R44" s="78">
        <v>415</v>
      </c>
      <c r="S44" s="79">
        <v>150.32599999999999</v>
      </c>
      <c r="T44" s="77">
        <v>1.6388</v>
      </c>
      <c r="U44" s="80">
        <v>370</v>
      </c>
      <c r="V44" s="76">
        <v>153.215</v>
      </c>
      <c r="W44" s="77">
        <v>1.1130199999999999</v>
      </c>
      <c r="X44" s="78">
        <v>320</v>
      </c>
      <c r="Y44" s="79">
        <v>159.459</v>
      </c>
      <c r="Z44" s="77">
        <v>1.9663200000000001</v>
      </c>
      <c r="AA44" s="80">
        <v>260</v>
      </c>
      <c r="AB44" s="76">
        <v>163.46700000000001</v>
      </c>
      <c r="AC44" s="77">
        <v>1.6845699999999999</v>
      </c>
      <c r="AD44" s="78">
        <v>200</v>
      </c>
      <c r="AE44" s="79">
        <v>203.262</v>
      </c>
      <c r="AF44" s="81">
        <v>1.47183</v>
      </c>
      <c r="AG44" s="78">
        <v>140</v>
      </c>
      <c r="AH44" s="82" t="str">
        <f t="shared" si="0"/>
        <v>D</v>
      </c>
      <c r="AI44" s="85"/>
      <c r="AJ44" s="84" t="str">
        <f t="shared" si="1"/>
        <v>2025-03-09-7호방-316LDS1-N33671</v>
      </c>
    </row>
    <row r="45" spans="1:36" s="82" customFormat="1" x14ac:dyDescent="0.4">
      <c r="A45" s="73">
        <v>44</v>
      </c>
      <c r="B45" s="74" t="s">
        <v>78</v>
      </c>
      <c r="C45" s="74" t="s">
        <v>116</v>
      </c>
      <c r="D45" s="74">
        <v>1</v>
      </c>
      <c r="E45" s="74" t="s">
        <v>182</v>
      </c>
      <c r="F45" s="74" t="s">
        <v>41</v>
      </c>
      <c r="G45" s="74">
        <v>267</v>
      </c>
      <c r="H45" s="74" t="s">
        <v>78</v>
      </c>
      <c r="I45" s="74" t="s">
        <v>229</v>
      </c>
      <c r="J45" s="74" t="s">
        <v>78</v>
      </c>
      <c r="K45" s="74" t="s">
        <v>230</v>
      </c>
      <c r="L45" s="75" t="s">
        <v>52</v>
      </c>
      <c r="M45" s="73"/>
      <c r="N45" s="74"/>
      <c r="O45" s="75" t="s">
        <v>304</v>
      </c>
      <c r="P45" s="76">
        <v>48.835000000000001</v>
      </c>
      <c r="Q45" s="77">
        <v>1.4662299999999999</v>
      </c>
      <c r="R45" s="78">
        <v>415</v>
      </c>
      <c r="S45" s="79">
        <v>109.133</v>
      </c>
      <c r="T45" s="77">
        <v>1.75119</v>
      </c>
      <c r="U45" s="80">
        <v>370</v>
      </c>
      <c r="V45" s="76">
        <v>126.747</v>
      </c>
      <c r="W45" s="77">
        <v>1.4676</v>
      </c>
      <c r="X45" s="78">
        <v>320</v>
      </c>
      <c r="Y45" s="79">
        <v>158.24799999999999</v>
      </c>
      <c r="Z45" s="77">
        <v>1.7589900000000001</v>
      </c>
      <c r="AA45" s="80">
        <v>260</v>
      </c>
      <c r="AB45" s="76">
        <v>163.09399999999999</v>
      </c>
      <c r="AC45" s="77">
        <v>1.56898</v>
      </c>
      <c r="AD45" s="78">
        <v>200</v>
      </c>
      <c r="AE45" s="79">
        <v>173.81200000000001</v>
      </c>
      <c r="AF45" s="81">
        <v>1.6149500000000001</v>
      </c>
      <c r="AG45" s="78">
        <v>140</v>
      </c>
      <c r="AH45" s="82" t="str">
        <f t="shared" si="0"/>
        <v>D</v>
      </c>
      <c r="AI45" s="85"/>
      <c r="AJ45" s="84" t="str">
        <f t="shared" si="1"/>
        <v>2025-03-09-7호방-316LDS1-N33671</v>
      </c>
    </row>
    <row r="46" spans="1:36" s="82" customFormat="1" x14ac:dyDescent="0.4">
      <c r="A46" s="73">
        <v>45</v>
      </c>
      <c r="B46" s="74" t="s">
        <v>78</v>
      </c>
      <c r="C46" s="74" t="s">
        <v>117</v>
      </c>
      <c r="D46" s="74">
        <v>1</v>
      </c>
      <c r="E46" s="74" t="s">
        <v>182</v>
      </c>
      <c r="F46" s="74" t="s">
        <v>41</v>
      </c>
      <c r="G46" s="74">
        <v>267</v>
      </c>
      <c r="H46" s="74" t="s">
        <v>78</v>
      </c>
      <c r="I46" s="74" t="s">
        <v>230</v>
      </c>
      <c r="J46" s="74" t="s">
        <v>78</v>
      </c>
      <c r="K46" s="74" t="s">
        <v>231</v>
      </c>
      <c r="L46" s="75" t="s">
        <v>53</v>
      </c>
      <c r="M46" s="73"/>
      <c r="N46" s="74"/>
      <c r="O46" s="75" t="s">
        <v>304</v>
      </c>
      <c r="P46" s="76">
        <v>66.542400000000001</v>
      </c>
      <c r="Q46" s="77">
        <v>1.3199000000000001</v>
      </c>
      <c r="R46" s="78">
        <v>415</v>
      </c>
      <c r="S46" s="79">
        <v>116.869</v>
      </c>
      <c r="T46" s="77">
        <v>1.6227499999999999</v>
      </c>
      <c r="U46" s="80">
        <v>370</v>
      </c>
      <c r="V46" s="76">
        <v>133.92400000000001</v>
      </c>
      <c r="W46" s="77">
        <v>1.4712700000000001</v>
      </c>
      <c r="X46" s="78">
        <v>320</v>
      </c>
      <c r="Y46" s="79">
        <v>171.202</v>
      </c>
      <c r="Z46" s="77">
        <v>1.55853</v>
      </c>
      <c r="AA46" s="80">
        <v>260</v>
      </c>
      <c r="AB46" s="76">
        <v>186.20699999999999</v>
      </c>
      <c r="AC46" s="77">
        <v>1.2556799999999999</v>
      </c>
      <c r="AD46" s="78">
        <v>200</v>
      </c>
      <c r="AE46" s="79">
        <v>174.744</v>
      </c>
      <c r="AF46" s="81">
        <v>1.5507299999999999</v>
      </c>
      <c r="AG46" s="78">
        <v>140</v>
      </c>
      <c r="AH46" s="82" t="str">
        <f t="shared" si="0"/>
        <v>D</v>
      </c>
      <c r="AI46" s="85"/>
      <c r="AJ46" s="84" t="str">
        <f t="shared" si="1"/>
        <v>2025-03-09-7호방-316LDS1-N33671</v>
      </c>
    </row>
    <row r="47" spans="1:36" s="82" customFormat="1" x14ac:dyDescent="0.4">
      <c r="A47" s="73">
        <v>46</v>
      </c>
      <c r="B47" s="74" t="s">
        <v>78</v>
      </c>
      <c r="C47" s="74" t="s">
        <v>118</v>
      </c>
      <c r="D47" s="74">
        <v>1</v>
      </c>
      <c r="E47" s="74" t="s">
        <v>182</v>
      </c>
      <c r="F47" s="74" t="s">
        <v>41</v>
      </c>
      <c r="G47" s="74">
        <v>267</v>
      </c>
      <c r="H47" s="74" t="s">
        <v>78</v>
      </c>
      <c r="I47" s="74" t="s">
        <v>231</v>
      </c>
      <c r="J47" s="74" t="s">
        <v>78</v>
      </c>
      <c r="K47" s="74" t="s">
        <v>232</v>
      </c>
      <c r="L47" s="75" t="s">
        <v>54</v>
      </c>
      <c r="M47" s="73"/>
      <c r="N47" s="74"/>
      <c r="O47" s="75" t="s">
        <v>304</v>
      </c>
      <c r="P47" s="76">
        <v>62.255400000000002</v>
      </c>
      <c r="Q47" s="77">
        <v>1.5465</v>
      </c>
      <c r="R47" s="78">
        <v>415</v>
      </c>
      <c r="S47" s="79">
        <v>112.395</v>
      </c>
      <c r="T47" s="77">
        <v>1.54064</v>
      </c>
      <c r="U47" s="80">
        <v>370</v>
      </c>
      <c r="V47" s="76">
        <v>132.15299999999999</v>
      </c>
      <c r="W47" s="77">
        <v>1.5272399999999999</v>
      </c>
      <c r="X47" s="78">
        <v>320</v>
      </c>
      <c r="Y47" s="79">
        <v>170.084</v>
      </c>
      <c r="Z47" s="77">
        <v>1.5507299999999999</v>
      </c>
      <c r="AA47" s="80">
        <v>260</v>
      </c>
      <c r="AB47" s="76">
        <v>177.81899999999999</v>
      </c>
      <c r="AC47" s="77">
        <v>1.37632</v>
      </c>
      <c r="AD47" s="78">
        <v>200</v>
      </c>
      <c r="AE47" s="79">
        <v>176.51400000000001</v>
      </c>
      <c r="AF47" s="81">
        <v>1.52779</v>
      </c>
      <c r="AG47" s="78">
        <v>140</v>
      </c>
      <c r="AH47" s="82" t="str">
        <f t="shared" si="0"/>
        <v>D</v>
      </c>
      <c r="AI47" s="85"/>
      <c r="AJ47" s="84" t="str">
        <f t="shared" si="1"/>
        <v>2025-03-09-7호방-316LDS1-N33671</v>
      </c>
    </row>
    <row r="48" spans="1:36" s="58" customFormat="1" hidden="1" x14ac:dyDescent="0.2">
      <c r="A48" s="6">
        <v>47</v>
      </c>
      <c r="B48" s="3" t="s">
        <v>78</v>
      </c>
      <c r="C48" s="3" t="s">
        <v>119</v>
      </c>
      <c r="D48" s="3">
        <v>1</v>
      </c>
      <c r="E48" s="3" t="s">
        <v>180</v>
      </c>
      <c r="F48" s="3" t="s">
        <v>40</v>
      </c>
      <c r="G48" s="3">
        <v>267</v>
      </c>
      <c r="H48" s="3" t="s">
        <v>78</v>
      </c>
      <c r="I48" s="3" t="s">
        <v>233</v>
      </c>
      <c r="J48" s="3" t="s">
        <v>78</v>
      </c>
      <c r="K48" s="3" t="s">
        <v>234</v>
      </c>
      <c r="L48" s="57" t="s">
        <v>11</v>
      </c>
      <c r="M48" s="6"/>
      <c r="N48" s="3"/>
      <c r="O48" s="57" t="s">
        <v>305</v>
      </c>
      <c r="P48" s="25">
        <v>53.0289</v>
      </c>
      <c r="Q48" s="53">
        <v>1.4919100000000001</v>
      </c>
      <c r="R48" s="26">
        <v>415</v>
      </c>
      <c r="S48" s="27">
        <v>105.312</v>
      </c>
      <c r="T48" s="53">
        <v>1.67275</v>
      </c>
      <c r="U48" s="28">
        <v>370</v>
      </c>
      <c r="V48" s="25">
        <v>117.614</v>
      </c>
      <c r="W48" s="53">
        <v>1.7102599999999999</v>
      </c>
      <c r="X48" s="26">
        <v>320</v>
      </c>
      <c r="Y48" s="27">
        <v>199.62700000000001</v>
      </c>
      <c r="Z48" s="53">
        <v>1.24247</v>
      </c>
      <c r="AA48" s="28">
        <v>260</v>
      </c>
      <c r="AB48" s="25">
        <v>162.535</v>
      </c>
      <c r="AC48" s="53">
        <v>1.40063</v>
      </c>
      <c r="AD48" s="26">
        <v>200</v>
      </c>
      <c r="AE48" s="27">
        <v>192.078</v>
      </c>
      <c r="AF48" s="36">
        <v>1.1218300000000001</v>
      </c>
      <c r="AG48" s="26">
        <v>140</v>
      </c>
      <c r="AH48" s="58" t="str">
        <f t="shared" si="0"/>
        <v>U</v>
      </c>
      <c r="AI48" s="69" t="s">
        <v>326</v>
      </c>
      <c r="AJ48" s="72" t="str">
        <f t="shared" si="1"/>
        <v>2025-03-09-5호방-304LDS1-N33828</v>
      </c>
    </row>
    <row r="49" spans="1:36" s="58" customFormat="1" hidden="1" x14ac:dyDescent="0.4">
      <c r="A49" s="6">
        <v>48</v>
      </c>
      <c r="B49" s="3" t="s">
        <v>78</v>
      </c>
      <c r="C49" s="3" t="s">
        <v>120</v>
      </c>
      <c r="D49" s="3">
        <v>1</v>
      </c>
      <c r="E49" s="3" t="s">
        <v>180</v>
      </c>
      <c r="F49" s="3" t="s">
        <v>40</v>
      </c>
      <c r="G49" s="3">
        <v>267</v>
      </c>
      <c r="H49" s="3" t="s">
        <v>78</v>
      </c>
      <c r="I49" s="3" t="s">
        <v>234</v>
      </c>
      <c r="J49" s="3" t="s">
        <v>78</v>
      </c>
      <c r="K49" s="3" t="s">
        <v>235</v>
      </c>
      <c r="L49" s="57" t="s">
        <v>313</v>
      </c>
      <c r="M49" s="6"/>
      <c r="N49" s="3"/>
      <c r="O49" s="57" t="s">
        <v>305</v>
      </c>
      <c r="P49" s="25">
        <v>50.046599999999998</v>
      </c>
      <c r="Q49" s="53">
        <v>1.4758599999999999</v>
      </c>
      <c r="R49" s="26">
        <v>415</v>
      </c>
      <c r="S49" s="27">
        <v>106.431</v>
      </c>
      <c r="T49" s="53">
        <v>1.40578</v>
      </c>
      <c r="U49" s="28">
        <v>370</v>
      </c>
      <c r="V49" s="25">
        <v>116.123</v>
      </c>
      <c r="W49" s="53">
        <v>1.58687</v>
      </c>
      <c r="X49" s="26">
        <v>320</v>
      </c>
      <c r="Y49" s="27">
        <v>203.44800000000001</v>
      </c>
      <c r="Z49" s="53">
        <v>1.3351299999999999</v>
      </c>
      <c r="AA49" s="28">
        <v>260</v>
      </c>
      <c r="AB49" s="25">
        <v>160.48500000000001</v>
      </c>
      <c r="AC49" s="53">
        <v>1.48228</v>
      </c>
      <c r="AD49" s="26">
        <v>200</v>
      </c>
      <c r="AE49" s="27">
        <v>199.81399999999999</v>
      </c>
      <c r="AF49" s="36">
        <v>1.46082</v>
      </c>
      <c r="AG49" s="26">
        <v>140</v>
      </c>
      <c r="AH49" s="58" t="str">
        <f t="shared" si="0"/>
        <v>U</v>
      </c>
      <c r="AI49" s="70"/>
      <c r="AJ49" s="72" t="str">
        <f t="shared" si="1"/>
        <v>2025-03-09-5호방-304LDS1-N33828</v>
      </c>
    </row>
    <row r="50" spans="1:36" s="58" customFormat="1" hidden="1" x14ac:dyDescent="0.4">
      <c r="A50" s="6">
        <v>49</v>
      </c>
      <c r="B50" s="3" t="s">
        <v>78</v>
      </c>
      <c r="C50" s="3" t="s">
        <v>121</v>
      </c>
      <c r="D50" s="3">
        <v>1</v>
      </c>
      <c r="E50" s="3" t="s">
        <v>180</v>
      </c>
      <c r="F50" s="3" t="s">
        <v>40</v>
      </c>
      <c r="G50" s="3">
        <v>270</v>
      </c>
      <c r="H50" s="3" t="s">
        <v>78</v>
      </c>
      <c r="I50" s="3" t="s">
        <v>235</v>
      </c>
      <c r="J50" s="3" t="s">
        <v>78</v>
      </c>
      <c r="K50" s="3" t="s">
        <v>236</v>
      </c>
      <c r="L50" s="57" t="s">
        <v>314</v>
      </c>
      <c r="M50" s="6"/>
      <c r="N50" s="3"/>
      <c r="O50" s="57" t="s">
        <v>305</v>
      </c>
      <c r="P50" s="25">
        <v>51.164999999999999</v>
      </c>
      <c r="Q50" s="53">
        <v>1.6859500000000001</v>
      </c>
      <c r="R50" s="26">
        <v>415</v>
      </c>
      <c r="S50" s="27">
        <v>110.065</v>
      </c>
      <c r="T50" s="53">
        <v>1.3</v>
      </c>
      <c r="U50" s="28">
        <v>370</v>
      </c>
      <c r="V50" s="25">
        <v>51.444499999999998</v>
      </c>
      <c r="W50" s="53">
        <v>0.67200000000000004</v>
      </c>
      <c r="X50" s="26">
        <v>320</v>
      </c>
      <c r="Y50" s="27">
        <v>51.351399999999998</v>
      </c>
      <c r="Z50" s="53">
        <v>0.56242800000000004</v>
      </c>
      <c r="AA50" s="28">
        <v>260</v>
      </c>
      <c r="AB50" s="25">
        <v>169.245</v>
      </c>
      <c r="AC50" s="53">
        <v>0.95348599999999994</v>
      </c>
      <c r="AD50" s="26">
        <v>320</v>
      </c>
      <c r="AE50" s="27">
        <v>168.22</v>
      </c>
      <c r="AF50" s="36">
        <v>1.62412</v>
      </c>
      <c r="AG50" s="26">
        <v>260</v>
      </c>
      <c r="AH50" s="58" t="str">
        <f t="shared" si="0"/>
        <v>U</v>
      </c>
      <c r="AI50" s="70"/>
      <c r="AJ50" s="72" t="str">
        <f t="shared" si="1"/>
        <v>2025-03-09-5호방-304LDS1-N33828</v>
      </c>
    </row>
    <row r="51" spans="1:36" s="58" customFormat="1" hidden="1" x14ac:dyDescent="0.4">
      <c r="A51" s="6">
        <v>50</v>
      </c>
      <c r="B51" s="3" t="s">
        <v>78</v>
      </c>
      <c r="C51" s="3" t="s">
        <v>122</v>
      </c>
      <c r="D51" s="3">
        <v>1</v>
      </c>
      <c r="E51" s="3" t="s">
        <v>180</v>
      </c>
      <c r="F51" s="3" t="s">
        <v>40</v>
      </c>
      <c r="G51" s="3">
        <v>270</v>
      </c>
      <c r="H51" s="3" t="s">
        <v>78</v>
      </c>
      <c r="I51" s="3" t="s">
        <v>236</v>
      </c>
      <c r="J51" s="3" t="s">
        <v>78</v>
      </c>
      <c r="K51" s="3" t="s">
        <v>237</v>
      </c>
      <c r="L51" s="57" t="s">
        <v>315</v>
      </c>
      <c r="M51" s="6"/>
      <c r="N51" s="3"/>
      <c r="O51" s="57" t="s">
        <v>305</v>
      </c>
      <c r="P51" s="25">
        <v>52.656100000000002</v>
      </c>
      <c r="Q51" s="53">
        <v>1.4662299999999999</v>
      </c>
      <c r="R51" s="26">
        <v>415</v>
      </c>
      <c r="S51" s="27">
        <v>133.55099999999999</v>
      </c>
      <c r="T51" s="53">
        <v>1.3433900000000001</v>
      </c>
      <c r="U51" s="28">
        <v>370</v>
      </c>
      <c r="V51" s="25">
        <v>145.57300000000001</v>
      </c>
      <c r="W51" s="53">
        <v>1.40201</v>
      </c>
      <c r="X51" s="26">
        <v>320</v>
      </c>
      <c r="Y51" s="27">
        <v>203.821</v>
      </c>
      <c r="Z51" s="53">
        <v>1.32229</v>
      </c>
      <c r="AA51" s="28">
        <v>260</v>
      </c>
      <c r="AB51" s="25">
        <v>190.96</v>
      </c>
      <c r="AC51" s="53">
        <v>1.4547600000000001</v>
      </c>
      <c r="AD51" s="26">
        <v>200</v>
      </c>
      <c r="AE51" s="27">
        <v>193.84899999999999</v>
      </c>
      <c r="AF51" s="36">
        <v>1.07826</v>
      </c>
      <c r="AG51" s="26">
        <v>140</v>
      </c>
      <c r="AH51" s="58" t="str">
        <f t="shared" si="0"/>
        <v>U</v>
      </c>
      <c r="AI51" s="70"/>
      <c r="AJ51" s="72" t="str">
        <f t="shared" si="1"/>
        <v>2025-03-09-5호방-304LDS1-N33828</v>
      </c>
    </row>
    <row r="52" spans="1:36" s="58" customFormat="1" hidden="1" x14ac:dyDescent="0.4">
      <c r="A52" s="6">
        <v>51</v>
      </c>
      <c r="B52" s="3" t="s">
        <v>78</v>
      </c>
      <c r="C52" s="3" t="s">
        <v>123</v>
      </c>
      <c r="D52" s="3">
        <v>1</v>
      </c>
      <c r="E52" s="3" t="s">
        <v>180</v>
      </c>
      <c r="F52" s="3" t="s">
        <v>40</v>
      </c>
      <c r="G52" s="3">
        <v>270</v>
      </c>
      <c r="H52" s="3" t="s">
        <v>78</v>
      </c>
      <c r="I52" s="3" t="s">
        <v>237</v>
      </c>
      <c r="J52" s="3" t="s">
        <v>78</v>
      </c>
      <c r="K52" s="3" t="s">
        <v>238</v>
      </c>
      <c r="L52" s="57" t="s">
        <v>316</v>
      </c>
      <c r="M52" s="6"/>
      <c r="N52" s="3"/>
      <c r="O52" s="57" t="s">
        <v>305</v>
      </c>
      <c r="P52" s="25">
        <v>56.290799999999997</v>
      </c>
      <c r="Q52" s="53">
        <v>1.4405399999999999</v>
      </c>
      <c r="R52" s="26">
        <v>415</v>
      </c>
      <c r="S52" s="27">
        <v>126.468</v>
      </c>
      <c r="T52" s="53">
        <v>1.4204600000000001</v>
      </c>
      <c r="U52" s="28">
        <v>370</v>
      </c>
      <c r="V52" s="25">
        <v>146.03899999999999</v>
      </c>
      <c r="W52" s="53">
        <v>1.50797</v>
      </c>
      <c r="X52" s="26">
        <v>320</v>
      </c>
      <c r="Y52" s="27">
        <v>165.238</v>
      </c>
      <c r="Z52" s="53">
        <v>1.8011900000000001</v>
      </c>
      <c r="AA52" s="28">
        <v>260</v>
      </c>
      <c r="AB52" s="25">
        <v>185.18199999999999</v>
      </c>
      <c r="AC52" s="53">
        <v>1.5240199999999999</v>
      </c>
      <c r="AD52" s="26">
        <v>200</v>
      </c>
      <c r="AE52" s="27">
        <v>190.02799999999999</v>
      </c>
      <c r="AF52" s="36">
        <v>1.5085299999999999</v>
      </c>
      <c r="AG52" s="26">
        <v>140</v>
      </c>
      <c r="AH52" s="58" t="str">
        <f t="shared" si="0"/>
        <v>U</v>
      </c>
      <c r="AI52" s="70"/>
      <c r="AJ52" s="72" t="str">
        <f t="shared" si="1"/>
        <v>2025-03-09-5호방-304LDS1-N33828</v>
      </c>
    </row>
    <row r="53" spans="1:36" s="58" customFormat="1" hidden="1" x14ac:dyDescent="0.4">
      <c r="A53" s="6">
        <v>52</v>
      </c>
      <c r="B53" s="3" t="s">
        <v>78</v>
      </c>
      <c r="C53" s="3" t="s">
        <v>124</v>
      </c>
      <c r="D53" s="3">
        <v>1</v>
      </c>
      <c r="E53" s="3" t="s">
        <v>180</v>
      </c>
      <c r="F53" s="3" t="s">
        <v>40</v>
      </c>
      <c r="G53" s="3">
        <v>270</v>
      </c>
      <c r="H53" s="3" t="s">
        <v>78</v>
      </c>
      <c r="I53" s="3" t="s">
        <v>238</v>
      </c>
      <c r="J53" s="3" t="s">
        <v>78</v>
      </c>
      <c r="K53" s="3" t="s">
        <v>239</v>
      </c>
      <c r="L53" s="57" t="s">
        <v>50</v>
      </c>
      <c r="M53" s="6"/>
      <c r="N53" s="3"/>
      <c r="O53" s="57" t="s">
        <v>305</v>
      </c>
      <c r="P53" s="25">
        <v>57.036299999999997</v>
      </c>
      <c r="Q53" s="53">
        <v>1.71668</v>
      </c>
      <c r="R53" s="26">
        <v>415</v>
      </c>
      <c r="S53" s="27">
        <v>124.045</v>
      </c>
      <c r="T53" s="53">
        <v>1.52</v>
      </c>
      <c r="U53" s="28">
        <v>370</v>
      </c>
      <c r="V53" s="25">
        <v>133.73699999999999</v>
      </c>
      <c r="W53" s="53">
        <v>1.6749400000000001</v>
      </c>
      <c r="X53" s="26">
        <v>320</v>
      </c>
      <c r="Y53" s="27">
        <v>173.53200000000001</v>
      </c>
      <c r="Z53" s="53">
        <v>1.5745800000000001</v>
      </c>
      <c r="AA53" s="28">
        <v>260</v>
      </c>
      <c r="AB53" s="25">
        <v>183.87700000000001</v>
      </c>
      <c r="AC53" s="53">
        <v>1.48228</v>
      </c>
      <c r="AD53" s="26">
        <v>200</v>
      </c>
      <c r="AE53" s="27">
        <v>208.108</v>
      </c>
      <c r="AF53" s="36">
        <v>1.3388</v>
      </c>
      <c r="AG53" s="26">
        <v>140</v>
      </c>
      <c r="AH53" s="58" t="str">
        <f t="shared" si="0"/>
        <v>D</v>
      </c>
      <c r="AI53" s="70"/>
      <c r="AJ53" s="72" t="str">
        <f t="shared" si="1"/>
        <v>2025-03-09-5호방-304LDS1-N33828</v>
      </c>
    </row>
    <row r="54" spans="1:36" s="58" customFormat="1" hidden="1" x14ac:dyDescent="0.4">
      <c r="A54" s="6">
        <v>53</v>
      </c>
      <c r="B54" s="3" t="s">
        <v>78</v>
      </c>
      <c r="C54" s="3" t="s">
        <v>125</v>
      </c>
      <c r="D54" s="3">
        <v>1</v>
      </c>
      <c r="E54" s="3" t="s">
        <v>180</v>
      </c>
      <c r="F54" s="3" t="s">
        <v>40</v>
      </c>
      <c r="G54" s="3">
        <v>270</v>
      </c>
      <c r="H54" s="3" t="s">
        <v>78</v>
      </c>
      <c r="I54" s="3" t="s">
        <v>239</v>
      </c>
      <c r="J54" s="3" t="s">
        <v>78</v>
      </c>
      <c r="K54" s="3" t="s">
        <v>240</v>
      </c>
      <c r="L54" s="57" t="s">
        <v>317</v>
      </c>
      <c r="M54" s="6"/>
      <c r="N54" s="3"/>
      <c r="O54" s="57" t="s">
        <v>305</v>
      </c>
      <c r="P54" s="25">
        <v>58.247900000000001</v>
      </c>
      <c r="Q54" s="53">
        <v>1.63182</v>
      </c>
      <c r="R54" s="26">
        <v>415</v>
      </c>
      <c r="S54" s="27">
        <v>126.095</v>
      </c>
      <c r="T54" s="53">
        <v>1.8011900000000001</v>
      </c>
      <c r="U54" s="28">
        <v>370</v>
      </c>
      <c r="V54" s="25">
        <v>145.107</v>
      </c>
      <c r="W54" s="53">
        <v>1.68136</v>
      </c>
      <c r="X54" s="26">
        <v>320</v>
      </c>
      <c r="Y54" s="27">
        <v>188.72300000000001</v>
      </c>
      <c r="Z54" s="53">
        <v>0.99018300000000004</v>
      </c>
      <c r="AA54" s="28">
        <v>260</v>
      </c>
      <c r="AB54" s="25">
        <v>195.71299999999999</v>
      </c>
      <c r="AC54" s="53">
        <v>1.35063</v>
      </c>
      <c r="AD54" s="26">
        <v>200</v>
      </c>
      <c r="AE54" s="27">
        <v>57.875100000000003</v>
      </c>
      <c r="AF54" s="36">
        <v>0.65856300000000001</v>
      </c>
      <c r="AG54" s="26">
        <v>200</v>
      </c>
      <c r="AH54" s="58" t="str">
        <f t="shared" si="0"/>
        <v>D</v>
      </c>
      <c r="AI54" s="70"/>
      <c r="AJ54" s="72" t="str">
        <f t="shared" si="1"/>
        <v>2025-03-09-5호방-304LDS1-N33828</v>
      </c>
    </row>
    <row r="55" spans="1:36" s="58" customFormat="1" hidden="1" x14ac:dyDescent="0.4">
      <c r="A55" s="6">
        <v>54</v>
      </c>
      <c r="B55" s="3" t="s">
        <v>78</v>
      </c>
      <c r="C55" s="3" t="s">
        <v>126</v>
      </c>
      <c r="D55" s="3">
        <v>1</v>
      </c>
      <c r="E55" s="3" t="s">
        <v>180</v>
      </c>
      <c r="F55" s="3" t="s">
        <v>40</v>
      </c>
      <c r="G55" s="3">
        <v>270</v>
      </c>
      <c r="H55" s="3" t="s">
        <v>78</v>
      </c>
      <c r="I55" s="3" t="s">
        <v>240</v>
      </c>
      <c r="J55" s="3" t="s">
        <v>78</v>
      </c>
      <c r="K55" s="3" t="s">
        <v>241</v>
      </c>
      <c r="L55" s="57" t="s">
        <v>318</v>
      </c>
      <c r="M55" s="6"/>
      <c r="N55" s="3"/>
      <c r="O55" s="57" t="s">
        <v>305</v>
      </c>
      <c r="P55" s="25">
        <v>54.892800000000001</v>
      </c>
      <c r="Q55" s="53">
        <v>1.7006300000000001</v>
      </c>
      <c r="R55" s="26">
        <v>415</v>
      </c>
      <c r="S55" s="27">
        <v>150.047</v>
      </c>
      <c r="T55" s="53">
        <v>1.26633</v>
      </c>
      <c r="U55" s="28">
        <v>370</v>
      </c>
      <c r="V55" s="25">
        <v>149.86000000000001</v>
      </c>
      <c r="W55" s="53">
        <v>1.67815</v>
      </c>
      <c r="X55" s="26">
        <v>320</v>
      </c>
      <c r="Y55" s="27">
        <v>197.48400000000001</v>
      </c>
      <c r="Z55" s="53">
        <v>1.35945</v>
      </c>
      <c r="AA55" s="28">
        <v>260</v>
      </c>
      <c r="AB55" s="25">
        <v>193.476</v>
      </c>
      <c r="AC55" s="53">
        <v>1.5753999999999999</v>
      </c>
      <c r="AD55" s="26">
        <v>200</v>
      </c>
      <c r="AE55" s="27">
        <v>199.53399999999999</v>
      </c>
      <c r="AF55" s="36">
        <v>1.2566999999999999</v>
      </c>
      <c r="AG55" s="26">
        <v>140</v>
      </c>
      <c r="AH55" s="58" t="str">
        <f t="shared" si="0"/>
        <v>D</v>
      </c>
      <c r="AI55" s="70"/>
      <c r="AJ55" s="72" t="str">
        <f t="shared" si="1"/>
        <v>2025-03-09-5호방-304LDS1-N33828</v>
      </c>
    </row>
    <row r="56" spans="1:36" s="58" customFormat="1" hidden="1" x14ac:dyDescent="0.4">
      <c r="A56" s="6">
        <v>55</v>
      </c>
      <c r="B56" s="3" t="s">
        <v>78</v>
      </c>
      <c r="C56" s="3" t="s">
        <v>127</v>
      </c>
      <c r="D56" s="3">
        <v>1</v>
      </c>
      <c r="E56" s="3" t="s">
        <v>180</v>
      </c>
      <c r="F56" s="3" t="s">
        <v>40</v>
      </c>
      <c r="G56" s="3">
        <v>270</v>
      </c>
      <c r="H56" s="3" t="s">
        <v>78</v>
      </c>
      <c r="I56" s="3" t="s">
        <v>241</v>
      </c>
      <c r="J56" s="3" t="s">
        <v>78</v>
      </c>
      <c r="K56" s="3" t="s">
        <v>242</v>
      </c>
      <c r="L56" s="57" t="s">
        <v>320</v>
      </c>
      <c r="M56" s="6"/>
      <c r="N56" s="3"/>
      <c r="O56" s="57" t="s">
        <v>305</v>
      </c>
      <c r="P56" s="25">
        <v>67.660799999999995</v>
      </c>
      <c r="Q56" s="53">
        <v>1.8483000000000001</v>
      </c>
      <c r="R56" s="26">
        <v>415</v>
      </c>
      <c r="S56" s="27">
        <v>136.06700000000001</v>
      </c>
      <c r="T56" s="53">
        <v>1.41082</v>
      </c>
      <c r="U56" s="28">
        <v>370</v>
      </c>
      <c r="V56" s="25">
        <v>148.46199999999999</v>
      </c>
      <c r="W56" s="53">
        <v>1.62999</v>
      </c>
      <c r="X56" s="26">
        <v>320</v>
      </c>
      <c r="Y56" s="27">
        <v>214.44499999999999</v>
      </c>
      <c r="Z56" s="53">
        <v>1.3452299999999999</v>
      </c>
      <c r="AA56" s="28">
        <v>260</v>
      </c>
      <c r="AB56" s="25">
        <v>170.17699999999999</v>
      </c>
      <c r="AC56" s="53">
        <v>1.7538400000000001</v>
      </c>
      <c r="AD56" s="26">
        <v>200</v>
      </c>
      <c r="AE56" s="27">
        <v>204.19399999999999</v>
      </c>
      <c r="AF56" s="36">
        <v>1.3066899999999999</v>
      </c>
      <c r="AG56" s="26">
        <v>140</v>
      </c>
      <c r="AH56" s="58" t="str">
        <f t="shared" si="0"/>
        <v>D</v>
      </c>
      <c r="AI56" s="70"/>
      <c r="AJ56" s="72" t="str">
        <f t="shared" si="1"/>
        <v>2025-03-09-5호방-304LDS1-N33828</v>
      </c>
    </row>
    <row r="57" spans="1:36" s="58" customFormat="1" hidden="1" x14ac:dyDescent="0.4">
      <c r="A57" s="6">
        <v>56</v>
      </c>
      <c r="B57" s="3" t="s">
        <v>78</v>
      </c>
      <c r="C57" s="3" t="s">
        <v>128</v>
      </c>
      <c r="D57" s="3">
        <v>1</v>
      </c>
      <c r="E57" s="3" t="s">
        <v>180</v>
      </c>
      <c r="F57" s="3" t="s">
        <v>40</v>
      </c>
      <c r="G57" s="3">
        <v>270</v>
      </c>
      <c r="H57" s="3" t="s">
        <v>78</v>
      </c>
      <c r="I57" s="3" t="s">
        <v>243</v>
      </c>
      <c r="J57" s="3" t="s">
        <v>78</v>
      </c>
      <c r="K57" s="3" t="s">
        <v>244</v>
      </c>
      <c r="L57" s="57" t="s">
        <v>319</v>
      </c>
      <c r="M57" s="6"/>
      <c r="N57" s="3"/>
      <c r="O57" s="57" t="s">
        <v>305</v>
      </c>
      <c r="P57" s="25">
        <v>54.333599999999997</v>
      </c>
      <c r="Q57" s="53">
        <v>1.5753999999999999</v>
      </c>
      <c r="R57" s="26">
        <v>415</v>
      </c>
      <c r="S57" s="27">
        <v>126.84099999999999</v>
      </c>
      <c r="T57" s="53">
        <v>1.60669</v>
      </c>
      <c r="U57" s="28">
        <v>370</v>
      </c>
      <c r="V57" s="25">
        <v>145.85300000000001</v>
      </c>
      <c r="W57" s="53">
        <v>1.54834</v>
      </c>
      <c r="X57" s="26">
        <v>320</v>
      </c>
      <c r="Y57" s="27">
        <v>205.21899999999999</v>
      </c>
      <c r="Z57" s="53">
        <v>1.41082</v>
      </c>
      <c r="AA57" s="28">
        <v>260</v>
      </c>
      <c r="AB57" s="25">
        <v>194.595</v>
      </c>
      <c r="AC57" s="53">
        <v>1.45017</v>
      </c>
      <c r="AD57" s="26">
        <v>200</v>
      </c>
      <c r="AE57" s="27">
        <v>200.18600000000001</v>
      </c>
      <c r="AF57" s="36">
        <v>1.43651</v>
      </c>
      <c r="AG57" s="26">
        <v>140</v>
      </c>
      <c r="AH57" s="58" t="str">
        <f t="shared" si="0"/>
        <v>D</v>
      </c>
      <c r="AI57" s="70"/>
      <c r="AJ57" s="72" t="str">
        <f t="shared" si="1"/>
        <v>2025-03-09-5호방-304LDS1-N33828</v>
      </c>
    </row>
    <row r="58" spans="1:36" hidden="1" x14ac:dyDescent="0.2">
      <c r="A58" s="4">
        <v>58</v>
      </c>
      <c r="B58" s="2" t="s">
        <v>79</v>
      </c>
      <c r="C58" s="2" t="s">
        <v>129</v>
      </c>
      <c r="D58" s="2">
        <v>1</v>
      </c>
      <c r="E58" s="2" t="s">
        <v>183</v>
      </c>
      <c r="F58" s="2" t="s">
        <v>245</v>
      </c>
      <c r="G58" s="2">
        <v>267</v>
      </c>
      <c r="H58" s="2" t="s">
        <v>79</v>
      </c>
      <c r="I58" s="2" t="s">
        <v>246</v>
      </c>
      <c r="J58" s="2" t="s">
        <v>79</v>
      </c>
      <c r="K58" s="2" t="s">
        <v>247</v>
      </c>
      <c r="L58" s="57" t="s">
        <v>11</v>
      </c>
      <c r="M58" s="4"/>
      <c r="N58" s="2"/>
      <c r="O58" s="5" t="s">
        <v>306</v>
      </c>
      <c r="P58" s="25">
        <v>50.9786</v>
      </c>
      <c r="Q58" s="53">
        <v>1.05843</v>
      </c>
      <c r="R58" s="26">
        <v>415</v>
      </c>
      <c r="S58" s="27">
        <v>141.1</v>
      </c>
      <c r="T58" s="53">
        <v>1.6259600000000001</v>
      </c>
      <c r="U58" s="28">
        <v>370</v>
      </c>
      <c r="V58" s="25">
        <v>132.99199999999999</v>
      </c>
      <c r="W58" s="53">
        <v>1.20797</v>
      </c>
      <c r="X58" s="26">
        <v>320</v>
      </c>
      <c r="Y58" s="27">
        <v>180.52199999999999</v>
      </c>
      <c r="Z58" s="53">
        <v>1.6227499999999999</v>
      </c>
      <c r="AA58" s="28">
        <v>260</v>
      </c>
      <c r="AB58" s="25">
        <v>67.754000000000005</v>
      </c>
      <c r="AC58" s="53">
        <v>1.1526700000000001</v>
      </c>
      <c r="AD58" s="26">
        <v>200</v>
      </c>
      <c r="AE58" s="27">
        <v>165.05099999999999</v>
      </c>
      <c r="AF58" s="36">
        <v>1.6612800000000001</v>
      </c>
      <c r="AG58" s="26">
        <v>140</v>
      </c>
      <c r="AH58" t="str">
        <f t="shared" si="0"/>
        <v>U</v>
      </c>
      <c r="AI58" s="63" t="s">
        <v>327</v>
      </c>
      <c r="AJ58" s="61" t="str">
        <f t="shared" si="1"/>
        <v>2025-03-14-6호방-STS316LS1-N33862</v>
      </c>
    </row>
    <row r="59" spans="1:36" hidden="1" x14ac:dyDescent="0.4">
      <c r="A59" s="4">
        <v>59</v>
      </c>
      <c r="B59" s="2" t="s">
        <v>79</v>
      </c>
      <c r="C59" s="2" t="s">
        <v>130</v>
      </c>
      <c r="D59" s="2">
        <v>1</v>
      </c>
      <c r="E59" s="2" t="s">
        <v>184</v>
      </c>
      <c r="F59" s="2" t="s">
        <v>248</v>
      </c>
      <c r="G59" s="2">
        <v>267</v>
      </c>
      <c r="H59" s="2" t="s">
        <v>80</v>
      </c>
      <c r="I59" s="2" t="s">
        <v>249</v>
      </c>
      <c r="J59" s="2" t="s">
        <v>80</v>
      </c>
      <c r="K59" s="2" t="s">
        <v>250</v>
      </c>
      <c r="L59" s="57" t="s">
        <v>313</v>
      </c>
      <c r="M59" s="4"/>
      <c r="N59" s="2"/>
      <c r="O59" s="5" t="s">
        <v>306</v>
      </c>
      <c r="P59" s="25">
        <v>52.190100000000001</v>
      </c>
      <c r="Q59" s="53">
        <v>1.0538400000000001</v>
      </c>
      <c r="R59" s="26">
        <v>415</v>
      </c>
      <c r="S59" s="27">
        <v>139.23599999999999</v>
      </c>
      <c r="T59" s="53">
        <v>1.7672399999999999</v>
      </c>
      <c r="U59" s="28">
        <v>370</v>
      </c>
      <c r="V59" s="25">
        <v>116.21599999999999</v>
      </c>
      <c r="W59" s="53">
        <v>1.2960400000000001</v>
      </c>
      <c r="X59" s="26">
        <v>320</v>
      </c>
      <c r="Y59" s="27">
        <v>158.155</v>
      </c>
      <c r="Z59" s="53">
        <v>1.6259600000000001</v>
      </c>
      <c r="AA59" s="28">
        <v>260</v>
      </c>
      <c r="AB59" s="25">
        <v>166.26300000000001</v>
      </c>
      <c r="AC59" s="53">
        <v>1.4069799999999999</v>
      </c>
      <c r="AD59" s="26">
        <v>200</v>
      </c>
      <c r="AE59" s="27">
        <v>163.09399999999999</v>
      </c>
      <c r="AF59" s="36">
        <v>1.6305499999999999</v>
      </c>
      <c r="AG59" s="26">
        <v>140</v>
      </c>
      <c r="AH59" t="str">
        <f t="shared" si="0"/>
        <v>U</v>
      </c>
      <c r="AI59" s="64"/>
      <c r="AJ59" s="61" t="str">
        <f t="shared" si="1"/>
        <v>2025-03-15-6호방-STS304S1-N33897</v>
      </c>
    </row>
    <row r="60" spans="1:36" hidden="1" x14ac:dyDescent="0.4">
      <c r="A60" s="4">
        <v>60</v>
      </c>
      <c r="B60" s="2" t="s">
        <v>79</v>
      </c>
      <c r="C60" s="2" t="s">
        <v>131</v>
      </c>
      <c r="D60" s="2">
        <v>1</v>
      </c>
      <c r="E60" s="2" t="s">
        <v>184</v>
      </c>
      <c r="F60" s="2" t="s">
        <v>248</v>
      </c>
      <c r="G60" s="2">
        <v>267</v>
      </c>
      <c r="H60" s="2" t="s">
        <v>80</v>
      </c>
      <c r="I60" s="2" t="s">
        <v>250</v>
      </c>
      <c r="J60" s="2" t="s">
        <v>80</v>
      </c>
      <c r="K60" s="2" t="s">
        <v>251</v>
      </c>
      <c r="L60" s="57" t="s">
        <v>314</v>
      </c>
      <c r="M60" s="4"/>
      <c r="N60" s="2"/>
      <c r="O60" s="5" t="s">
        <v>306</v>
      </c>
      <c r="P60" s="25">
        <v>53.122100000000003</v>
      </c>
      <c r="Q60" s="53">
        <v>1.2464999999999999</v>
      </c>
      <c r="R60" s="26">
        <v>415</v>
      </c>
      <c r="S60" s="27">
        <v>147.53</v>
      </c>
      <c r="T60" s="53">
        <v>1.92137</v>
      </c>
      <c r="U60" s="28">
        <v>370</v>
      </c>
      <c r="V60" s="25">
        <v>111.929</v>
      </c>
      <c r="W60" s="53">
        <v>1.46485</v>
      </c>
      <c r="X60" s="26">
        <v>320</v>
      </c>
      <c r="Y60" s="27">
        <v>151.631</v>
      </c>
      <c r="Z60" s="53">
        <v>1.8589899999999999</v>
      </c>
      <c r="AA60" s="28">
        <v>260</v>
      </c>
      <c r="AB60" s="25">
        <v>155.91800000000001</v>
      </c>
      <c r="AC60" s="53">
        <v>1.7327399999999999</v>
      </c>
      <c r="AD60" s="26">
        <v>200</v>
      </c>
      <c r="AE60" s="27">
        <v>152.47</v>
      </c>
      <c r="AF60" s="36">
        <v>1.82321</v>
      </c>
      <c r="AG60" s="26">
        <v>140</v>
      </c>
      <c r="AH60" t="str">
        <f t="shared" si="0"/>
        <v>U</v>
      </c>
      <c r="AI60" s="64"/>
      <c r="AJ60" s="61" t="str">
        <f t="shared" si="1"/>
        <v>2025-03-15-6호방-STS304S1-N33897</v>
      </c>
    </row>
    <row r="61" spans="1:36" hidden="1" x14ac:dyDescent="0.4">
      <c r="A61" s="4">
        <v>61</v>
      </c>
      <c r="B61" s="2" t="s">
        <v>79</v>
      </c>
      <c r="C61" s="2" t="s">
        <v>132</v>
      </c>
      <c r="D61" s="2">
        <v>1</v>
      </c>
      <c r="E61" s="2" t="s">
        <v>184</v>
      </c>
      <c r="F61" s="2" t="s">
        <v>248</v>
      </c>
      <c r="G61" s="2">
        <v>270</v>
      </c>
      <c r="H61" s="2" t="s">
        <v>80</v>
      </c>
      <c r="I61" s="2" t="s">
        <v>251</v>
      </c>
      <c r="J61" s="2" t="s">
        <v>80</v>
      </c>
      <c r="K61" s="2" t="s">
        <v>252</v>
      </c>
      <c r="L61" s="57" t="s">
        <v>50</v>
      </c>
      <c r="M61" s="4"/>
      <c r="N61" s="2"/>
      <c r="O61" s="5" t="s">
        <v>306</v>
      </c>
      <c r="P61" s="25">
        <v>60.577800000000003</v>
      </c>
      <c r="Q61" s="53">
        <v>1.08595</v>
      </c>
      <c r="R61" s="26">
        <v>415</v>
      </c>
      <c r="S61" s="27">
        <v>148.27600000000001</v>
      </c>
      <c r="T61" s="53">
        <v>1.8461399999999999</v>
      </c>
      <c r="U61" s="28">
        <v>370</v>
      </c>
      <c r="V61" s="25">
        <v>122.181</v>
      </c>
      <c r="W61" s="53">
        <v>1.4533799999999999</v>
      </c>
      <c r="X61" s="26">
        <v>320</v>
      </c>
      <c r="Y61" s="27">
        <v>162.255</v>
      </c>
      <c r="Z61" s="53">
        <v>1.8411</v>
      </c>
      <c r="AA61" s="28">
        <v>260</v>
      </c>
      <c r="AB61" s="25">
        <v>174.09100000000001</v>
      </c>
      <c r="AC61" s="53">
        <v>1.59145</v>
      </c>
      <c r="AD61" s="26">
        <v>200</v>
      </c>
      <c r="AE61" s="27">
        <v>152.749</v>
      </c>
      <c r="AF61" s="36">
        <v>1.9681599999999999</v>
      </c>
      <c r="AG61" s="26">
        <v>140</v>
      </c>
      <c r="AH61" t="str">
        <f t="shared" si="0"/>
        <v>D</v>
      </c>
      <c r="AI61" s="64"/>
      <c r="AJ61" s="61" t="str">
        <f t="shared" si="1"/>
        <v>2025-03-15-6호방-STS304S1-N33897</v>
      </c>
    </row>
    <row r="62" spans="1:36" hidden="1" x14ac:dyDescent="0.4">
      <c r="A62" s="4">
        <v>62</v>
      </c>
      <c r="B62" s="2" t="s">
        <v>79</v>
      </c>
      <c r="C62" s="2" t="s">
        <v>133</v>
      </c>
      <c r="D62" s="2">
        <v>1</v>
      </c>
      <c r="E62" s="2" t="s">
        <v>184</v>
      </c>
      <c r="F62" s="2" t="s">
        <v>248</v>
      </c>
      <c r="G62" s="2">
        <v>270</v>
      </c>
      <c r="H62" s="2" t="s">
        <v>80</v>
      </c>
      <c r="I62" s="2" t="s">
        <v>252</v>
      </c>
      <c r="J62" s="2" t="s">
        <v>80</v>
      </c>
      <c r="K62" s="2" t="s">
        <v>253</v>
      </c>
      <c r="L62" s="57" t="s">
        <v>317</v>
      </c>
      <c r="M62" s="4"/>
      <c r="N62" s="2"/>
      <c r="O62" s="5" t="s">
        <v>306</v>
      </c>
      <c r="P62" s="25">
        <v>51.537700000000001</v>
      </c>
      <c r="Q62" s="53">
        <v>1.25109</v>
      </c>
      <c r="R62" s="26">
        <v>415</v>
      </c>
      <c r="S62" s="27">
        <v>122.181</v>
      </c>
      <c r="T62" s="53">
        <v>1.6690799999999999</v>
      </c>
      <c r="U62" s="28">
        <v>370</v>
      </c>
      <c r="V62" s="25">
        <v>123.57899999999999</v>
      </c>
      <c r="W62" s="53">
        <v>1.4327399999999999</v>
      </c>
      <c r="X62" s="26">
        <v>320</v>
      </c>
      <c r="Y62" s="27">
        <v>161.04400000000001</v>
      </c>
      <c r="Z62" s="53">
        <v>1.8039400000000001</v>
      </c>
      <c r="AA62" s="28">
        <v>260</v>
      </c>
      <c r="AB62" s="25">
        <v>175.11699999999999</v>
      </c>
      <c r="AC62" s="53">
        <v>1.6267799999999999</v>
      </c>
      <c r="AD62" s="26">
        <v>200</v>
      </c>
      <c r="AE62" s="27">
        <v>159.36600000000001</v>
      </c>
      <c r="AF62" s="36">
        <v>1.9810000000000001</v>
      </c>
      <c r="AG62" s="26">
        <v>140</v>
      </c>
      <c r="AH62" t="str">
        <f t="shared" si="0"/>
        <v>D</v>
      </c>
      <c r="AI62" s="64"/>
      <c r="AJ62" s="61" t="str">
        <f t="shared" si="1"/>
        <v>2025-03-15-6호방-STS304S1-N33897</v>
      </c>
    </row>
    <row r="63" spans="1:36" hidden="1" x14ac:dyDescent="0.4">
      <c r="A63" s="4">
        <v>63</v>
      </c>
      <c r="B63" s="2" t="s">
        <v>79</v>
      </c>
      <c r="C63" s="2" t="s">
        <v>134</v>
      </c>
      <c r="D63" s="2">
        <v>1</v>
      </c>
      <c r="E63" s="2" t="s">
        <v>184</v>
      </c>
      <c r="F63" s="2" t="s">
        <v>248</v>
      </c>
      <c r="G63" s="2">
        <v>270</v>
      </c>
      <c r="H63" s="2" t="s">
        <v>80</v>
      </c>
      <c r="I63" s="2" t="s">
        <v>253</v>
      </c>
      <c r="J63" s="2" t="s">
        <v>80</v>
      </c>
      <c r="K63" s="2" t="s">
        <v>254</v>
      </c>
      <c r="L63" s="57" t="s">
        <v>318</v>
      </c>
      <c r="M63" s="4"/>
      <c r="N63" s="2"/>
      <c r="O63" s="5" t="s">
        <v>306</v>
      </c>
      <c r="P63" s="25">
        <v>52.283299999999997</v>
      </c>
      <c r="Q63" s="53">
        <v>1.1818599999999999</v>
      </c>
      <c r="R63" s="26">
        <v>415</v>
      </c>
      <c r="S63" s="27">
        <v>140.541</v>
      </c>
      <c r="T63" s="53">
        <v>1.91954</v>
      </c>
      <c r="U63" s="28">
        <v>370</v>
      </c>
      <c r="V63" s="25">
        <v>122.181</v>
      </c>
      <c r="W63" s="53">
        <v>1.4886999999999999</v>
      </c>
      <c r="X63" s="26">
        <v>320</v>
      </c>
      <c r="Y63" s="27">
        <v>160.67099999999999</v>
      </c>
      <c r="Z63" s="53">
        <v>1.6323799999999999</v>
      </c>
      <c r="AA63" s="28">
        <v>260</v>
      </c>
      <c r="AB63" s="25">
        <v>179.87</v>
      </c>
      <c r="AC63" s="53">
        <v>1.5400799999999999</v>
      </c>
      <c r="AD63" s="26">
        <v>200</v>
      </c>
      <c r="AE63" s="27">
        <v>162.721</v>
      </c>
      <c r="AF63" s="36">
        <v>1.70486</v>
      </c>
      <c r="AG63" s="26">
        <v>140</v>
      </c>
      <c r="AH63" t="str">
        <f t="shared" si="0"/>
        <v>D</v>
      </c>
      <c r="AI63" s="64"/>
      <c r="AJ63" s="61" t="str">
        <f t="shared" si="1"/>
        <v>2025-03-15-6호방-STS304S1-N33897</v>
      </c>
    </row>
    <row r="64" spans="1:36" hidden="1" x14ac:dyDescent="0.4">
      <c r="A64" s="4">
        <v>64</v>
      </c>
      <c r="B64" s="2" t="s">
        <v>79</v>
      </c>
      <c r="C64" s="2" t="s">
        <v>135</v>
      </c>
      <c r="D64" s="2">
        <v>1</v>
      </c>
      <c r="E64" s="2" t="s">
        <v>184</v>
      </c>
      <c r="F64" s="2" t="s">
        <v>248</v>
      </c>
      <c r="G64" s="2">
        <v>270</v>
      </c>
      <c r="H64" s="2" t="s">
        <v>80</v>
      </c>
      <c r="I64" s="2" t="s">
        <v>254</v>
      </c>
      <c r="J64" s="2" t="s">
        <v>80</v>
      </c>
      <c r="K64" s="2" t="s">
        <v>255</v>
      </c>
      <c r="L64" s="57" t="s">
        <v>320</v>
      </c>
      <c r="M64" s="4"/>
      <c r="N64" s="2"/>
      <c r="O64" s="5" t="s">
        <v>306</v>
      </c>
      <c r="P64" s="25">
        <v>49.953400000000002</v>
      </c>
      <c r="Q64" s="53">
        <v>1.3181</v>
      </c>
      <c r="R64" s="26">
        <v>415</v>
      </c>
      <c r="S64" s="27">
        <v>145.57300000000001</v>
      </c>
      <c r="T64" s="53">
        <v>2.0177</v>
      </c>
      <c r="U64" s="28">
        <v>370</v>
      </c>
      <c r="V64" s="25">
        <v>118.919</v>
      </c>
      <c r="W64" s="53">
        <v>1.5143899999999999</v>
      </c>
      <c r="X64" s="26">
        <v>320</v>
      </c>
      <c r="Y64" s="27">
        <v>165.70400000000001</v>
      </c>
      <c r="Z64" s="53">
        <v>1.8424700000000001</v>
      </c>
      <c r="AA64" s="28">
        <v>260</v>
      </c>
      <c r="AB64" s="25">
        <v>165.983</v>
      </c>
      <c r="AC64" s="53">
        <v>1.6832</v>
      </c>
      <c r="AD64" s="26">
        <v>200</v>
      </c>
      <c r="AE64" s="27">
        <v>155.91800000000001</v>
      </c>
      <c r="AF64" s="36">
        <v>1.9695400000000001</v>
      </c>
      <c r="AG64" s="26">
        <v>140</v>
      </c>
      <c r="AH64" t="str">
        <f t="shared" si="0"/>
        <v>D</v>
      </c>
      <c r="AI64" s="64"/>
      <c r="AJ64" s="61" t="str">
        <f t="shared" si="1"/>
        <v>2025-03-15-6호방-STS304S1-N33897</v>
      </c>
    </row>
    <row r="65" spans="1:36" s="127" customFormat="1" x14ac:dyDescent="0.2">
      <c r="A65" s="118">
        <v>65</v>
      </c>
      <c r="B65" s="119" t="s">
        <v>80</v>
      </c>
      <c r="C65" s="119" t="s">
        <v>136</v>
      </c>
      <c r="D65" s="119">
        <v>1</v>
      </c>
      <c r="E65" s="119" t="s">
        <v>185</v>
      </c>
      <c r="F65" s="119" t="s">
        <v>41</v>
      </c>
      <c r="G65" s="119">
        <v>270</v>
      </c>
      <c r="H65" s="119" t="s">
        <v>80</v>
      </c>
      <c r="I65" s="119" t="s">
        <v>256</v>
      </c>
      <c r="J65" s="119" t="s">
        <v>80</v>
      </c>
      <c r="K65" s="119" t="s">
        <v>257</v>
      </c>
      <c r="L65" s="120" t="s">
        <v>307</v>
      </c>
      <c r="M65" s="118"/>
      <c r="N65" s="119"/>
      <c r="O65" s="120" t="s">
        <v>304</v>
      </c>
      <c r="P65" s="121">
        <v>50.512599999999999</v>
      </c>
      <c r="Q65" s="122">
        <v>1.3</v>
      </c>
      <c r="R65" s="123">
        <v>415</v>
      </c>
      <c r="S65" s="124">
        <v>108.854</v>
      </c>
      <c r="T65" s="122">
        <v>1.3</v>
      </c>
      <c r="U65" s="125">
        <v>370</v>
      </c>
      <c r="V65" s="121">
        <v>124.884</v>
      </c>
      <c r="W65" s="122">
        <v>0.54400000000000004</v>
      </c>
      <c r="X65" s="123">
        <v>320</v>
      </c>
      <c r="Y65" s="124">
        <v>178.09899999999999</v>
      </c>
      <c r="Z65" s="122">
        <v>0.56000000000000005</v>
      </c>
      <c r="AA65" s="125">
        <v>260</v>
      </c>
      <c r="AB65" s="121">
        <v>164.02600000000001</v>
      </c>
      <c r="AC65" s="122">
        <v>0.56999999999999995</v>
      </c>
      <c r="AD65" s="123">
        <v>200</v>
      </c>
      <c r="AE65" s="124">
        <v>174.37100000000001</v>
      </c>
      <c r="AF65" s="126">
        <v>1.518</v>
      </c>
      <c r="AG65" s="123">
        <v>140</v>
      </c>
      <c r="AH65" s="127" t="str">
        <f t="shared" si="0"/>
        <v>U</v>
      </c>
      <c r="AI65" s="128" t="s">
        <v>328</v>
      </c>
      <c r="AJ65" s="127" t="str">
        <f t="shared" si="1"/>
        <v>2025-03-15-7호방-316LDS1-N33842</v>
      </c>
    </row>
    <row r="66" spans="1:36" s="127" customFormat="1" x14ac:dyDescent="0.25">
      <c r="A66" s="118">
        <v>66</v>
      </c>
      <c r="B66" s="119" t="s">
        <v>80</v>
      </c>
      <c r="C66" s="119" t="s">
        <v>137</v>
      </c>
      <c r="D66" s="119">
        <v>1</v>
      </c>
      <c r="E66" s="119" t="s">
        <v>185</v>
      </c>
      <c r="F66" s="119" t="s">
        <v>41</v>
      </c>
      <c r="G66" s="119">
        <v>270</v>
      </c>
      <c r="H66" s="119" t="s">
        <v>80</v>
      </c>
      <c r="I66" s="119" t="s">
        <v>258</v>
      </c>
      <c r="J66" s="119" t="s">
        <v>80</v>
      </c>
      <c r="K66" s="119" t="s">
        <v>259</v>
      </c>
      <c r="L66" s="120" t="s">
        <v>309</v>
      </c>
      <c r="M66" s="118"/>
      <c r="N66" s="119"/>
      <c r="O66" s="120" t="s">
        <v>304</v>
      </c>
      <c r="P66" s="121">
        <v>48.2759</v>
      </c>
      <c r="Q66" s="122">
        <v>1.3</v>
      </c>
      <c r="R66" s="123">
        <v>415</v>
      </c>
      <c r="S66" s="124">
        <v>104.846</v>
      </c>
      <c r="T66" s="122">
        <v>1.3</v>
      </c>
      <c r="U66" s="125">
        <v>370</v>
      </c>
      <c r="V66" s="121">
        <v>121.994</v>
      </c>
      <c r="W66" s="122">
        <v>0.54400000000000004</v>
      </c>
      <c r="X66" s="123">
        <v>320</v>
      </c>
      <c r="Y66" s="124">
        <v>172.227</v>
      </c>
      <c r="Z66" s="122">
        <v>0.56000000000000005</v>
      </c>
      <c r="AA66" s="125">
        <v>260</v>
      </c>
      <c r="AB66" s="121">
        <v>159.459</v>
      </c>
      <c r="AC66" s="122">
        <v>0.56999999999999995</v>
      </c>
      <c r="AD66" s="123">
        <v>200</v>
      </c>
      <c r="AE66" s="124">
        <v>169.52500000000001</v>
      </c>
      <c r="AF66" s="126">
        <v>1.518</v>
      </c>
      <c r="AG66" s="123">
        <v>140</v>
      </c>
      <c r="AH66" s="127" t="str">
        <f t="shared" ref="AH66:AH104" si="2">IF(AG66="","",LEFT(L66,1))</f>
        <v>U</v>
      </c>
      <c r="AI66" s="129"/>
      <c r="AJ66" s="127" t="str">
        <f t="shared" si="1"/>
        <v>2025-03-15-7호방-316LDS1-N33842</v>
      </c>
    </row>
    <row r="67" spans="1:36" s="127" customFormat="1" x14ac:dyDescent="0.25">
      <c r="A67" s="118">
        <v>67</v>
      </c>
      <c r="B67" s="119" t="s">
        <v>80</v>
      </c>
      <c r="C67" s="119" t="s">
        <v>138</v>
      </c>
      <c r="D67" s="119">
        <v>1</v>
      </c>
      <c r="E67" s="119" t="s">
        <v>185</v>
      </c>
      <c r="F67" s="119" t="s">
        <v>41</v>
      </c>
      <c r="G67" s="119">
        <v>270</v>
      </c>
      <c r="H67" s="119" t="s">
        <v>80</v>
      </c>
      <c r="I67" s="119" t="s">
        <v>259</v>
      </c>
      <c r="J67" s="119" t="s">
        <v>80</v>
      </c>
      <c r="K67" s="119" t="s">
        <v>260</v>
      </c>
      <c r="L67" s="120" t="s">
        <v>12</v>
      </c>
      <c r="M67" s="118"/>
      <c r="N67" s="119"/>
      <c r="O67" s="120" t="s">
        <v>304</v>
      </c>
      <c r="P67" s="121">
        <v>46.691499999999998</v>
      </c>
      <c r="Q67" s="122">
        <v>1.3</v>
      </c>
      <c r="R67" s="123">
        <v>415</v>
      </c>
      <c r="S67" s="124">
        <v>103.44799999999999</v>
      </c>
      <c r="T67" s="122">
        <v>1.3</v>
      </c>
      <c r="U67" s="125">
        <v>370</v>
      </c>
      <c r="V67" s="121">
        <v>121.435</v>
      </c>
      <c r="W67" s="122">
        <v>0.54400000000000004</v>
      </c>
      <c r="X67" s="123">
        <v>320</v>
      </c>
      <c r="Y67" s="124">
        <v>179.404</v>
      </c>
      <c r="Z67" s="122">
        <v>0.56000000000000005</v>
      </c>
      <c r="AA67" s="125">
        <v>260</v>
      </c>
      <c r="AB67" s="121">
        <v>158.99299999999999</v>
      </c>
      <c r="AC67" s="122">
        <v>0.56999999999999995</v>
      </c>
      <c r="AD67" s="123">
        <v>200</v>
      </c>
      <c r="AE67" s="124">
        <v>170.45699999999999</v>
      </c>
      <c r="AF67" s="126">
        <v>1.518</v>
      </c>
      <c r="AG67" s="123">
        <v>140</v>
      </c>
      <c r="AH67" s="127" t="str">
        <f t="shared" si="2"/>
        <v>U</v>
      </c>
      <c r="AI67" s="129"/>
      <c r="AJ67" s="127" t="str">
        <f t="shared" ref="AJ67:AJ104" si="3">H67&amp;"-"&amp;O67&amp;"-"&amp;F67&amp;"-"&amp;E67</f>
        <v>2025-03-15-7호방-316LDS1-N33842</v>
      </c>
    </row>
    <row r="68" spans="1:36" s="127" customFormat="1" x14ac:dyDescent="0.25">
      <c r="A68" s="118">
        <v>68</v>
      </c>
      <c r="B68" s="119" t="s">
        <v>80</v>
      </c>
      <c r="C68" s="119" t="s">
        <v>139</v>
      </c>
      <c r="D68" s="119">
        <v>1</v>
      </c>
      <c r="E68" s="119" t="s">
        <v>185</v>
      </c>
      <c r="F68" s="119" t="s">
        <v>41</v>
      </c>
      <c r="G68" s="119">
        <v>270</v>
      </c>
      <c r="H68" s="119" t="s">
        <v>80</v>
      </c>
      <c r="I68" s="119" t="s">
        <v>260</v>
      </c>
      <c r="J68" s="119" t="s">
        <v>80</v>
      </c>
      <c r="K68" s="119" t="s">
        <v>261</v>
      </c>
      <c r="L68" s="120" t="s">
        <v>13</v>
      </c>
      <c r="M68" s="118"/>
      <c r="N68" s="119"/>
      <c r="O68" s="120" t="s">
        <v>304</v>
      </c>
      <c r="P68" s="121">
        <v>45.200400000000002</v>
      </c>
      <c r="Q68" s="122">
        <v>1.3</v>
      </c>
      <c r="R68" s="123">
        <v>415</v>
      </c>
      <c r="S68" s="124">
        <v>103.262</v>
      </c>
      <c r="T68" s="122">
        <v>1.3</v>
      </c>
      <c r="U68" s="125">
        <v>370</v>
      </c>
      <c r="V68" s="121">
        <v>123.113</v>
      </c>
      <c r="W68" s="122">
        <v>0.54400000000000004</v>
      </c>
      <c r="X68" s="123">
        <v>320</v>
      </c>
      <c r="Y68" s="124">
        <v>174.744</v>
      </c>
      <c r="Z68" s="122">
        <v>0.56000000000000005</v>
      </c>
      <c r="AA68" s="125">
        <v>260</v>
      </c>
      <c r="AB68" s="121">
        <v>161.51</v>
      </c>
      <c r="AC68" s="122">
        <v>0.56999999999999995</v>
      </c>
      <c r="AD68" s="123">
        <v>200</v>
      </c>
      <c r="AE68" s="124">
        <v>174.27799999999999</v>
      </c>
      <c r="AF68" s="126">
        <v>1.518</v>
      </c>
      <c r="AG68" s="123">
        <v>140</v>
      </c>
      <c r="AH68" s="127" t="str">
        <f t="shared" si="2"/>
        <v>U</v>
      </c>
      <c r="AI68" s="129"/>
      <c r="AJ68" s="127" t="str">
        <f t="shared" si="3"/>
        <v>2025-03-15-7호방-316LDS1-N33842</v>
      </c>
    </row>
    <row r="69" spans="1:36" s="127" customFormat="1" x14ac:dyDescent="0.25">
      <c r="A69" s="118">
        <v>69</v>
      </c>
      <c r="B69" s="119" t="s">
        <v>80</v>
      </c>
      <c r="C69" s="119" t="s">
        <v>140</v>
      </c>
      <c r="D69" s="119">
        <v>1</v>
      </c>
      <c r="E69" s="119" t="s">
        <v>185</v>
      </c>
      <c r="F69" s="119" t="s">
        <v>41</v>
      </c>
      <c r="G69" s="119">
        <v>270</v>
      </c>
      <c r="H69" s="119" t="s">
        <v>80</v>
      </c>
      <c r="I69" s="119" t="s">
        <v>261</v>
      </c>
      <c r="J69" s="119" t="s">
        <v>80</v>
      </c>
      <c r="K69" s="119" t="s">
        <v>262</v>
      </c>
      <c r="L69" s="120" t="s">
        <v>14</v>
      </c>
      <c r="M69" s="118"/>
      <c r="N69" s="119"/>
      <c r="O69" s="120" t="s">
        <v>304</v>
      </c>
      <c r="P69" s="121">
        <v>44.641199999999998</v>
      </c>
      <c r="Q69" s="122">
        <v>1.3</v>
      </c>
      <c r="R69" s="123">
        <v>415</v>
      </c>
      <c r="S69" s="124">
        <v>105.033</v>
      </c>
      <c r="T69" s="122">
        <v>1.3</v>
      </c>
      <c r="U69" s="125">
        <v>370</v>
      </c>
      <c r="V69" s="121">
        <v>123.672</v>
      </c>
      <c r="W69" s="122">
        <v>0.54400000000000004</v>
      </c>
      <c r="X69" s="123">
        <v>320</v>
      </c>
      <c r="Y69" s="124">
        <v>184.90199999999999</v>
      </c>
      <c r="Z69" s="122">
        <v>0.56000000000000005</v>
      </c>
      <c r="AA69" s="125">
        <v>260</v>
      </c>
      <c r="AB69" s="121">
        <v>163.28100000000001</v>
      </c>
      <c r="AC69" s="122">
        <v>0.56999999999999995</v>
      </c>
      <c r="AD69" s="123">
        <v>200</v>
      </c>
      <c r="AE69" s="124">
        <v>172.88</v>
      </c>
      <c r="AF69" s="126">
        <v>1.518</v>
      </c>
      <c r="AG69" s="123">
        <v>140</v>
      </c>
      <c r="AH69" s="127" t="str">
        <f t="shared" si="2"/>
        <v>U</v>
      </c>
      <c r="AI69" s="129"/>
      <c r="AJ69" s="127" t="str">
        <f t="shared" si="3"/>
        <v>2025-03-15-7호방-316LDS1-N33842</v>
      </c>
    </row>
    <row r="70" spans="1:36" s="127" customFormat="1" x14ac:dyDescent="0.25">
      <c r="A70" s="118">
        <v>70</v>
      </c>
      <c r="B70" s="119" t="s">
        <v>80</v>
      </c>
      <c r="C70" s="119" t="s">
        <v>141</v>
      </c>
      <c r="D70" s="119">
        <v>1</v>
      </c>
      <c r="E70" s="119" t="s">
        <v>185</v>
      </c>
      <c r="F70" s="119" t="s">
        <v>41</v>
      </c>
      <c r="G70" s="119">
        <v>267</v>
      </c>
      <c r="H70" s="119" t="s">
        <v>80</v>
      </c>
      <c r="I70" s="119" t="s">
        <v>262</v>
      </c>
      <c r="J70" s="119" t="s">
        <v>80</v>
      </c>
      <c r="K70" s="119" t="s">
        <v>263</v>
      </c>
      <c r="L70" s="120" t="s">
        <v>310</v>
      </c>
      <c r="M70" s="118"/>
      <c r="N70" s="119"/>
      <c r="O70" s="120" t="s">
        <v>304</v>
      </c>
      <c r="P70" s="121">
        <v>44.641199999999998</v>
      </c>
      <c r="Q70" s="122">
        <v>1.3</v>
      </c>
      <c r="R70" s="123">
        <v>415</v>
      </c>
      <c r="S70" s="124">
        <v>105.312</v>
      </c>
      <c r="T70" s="122">
        <v>1.3</v>
      </c>
      <c r="U70" s="125">
        <v>370</v>
      </c>
      <c r="V70" s="121">
        <v>128.98400000000001</v>
      </c>
      <c r="W70" s="122">
        <v>0.54400000000000004</v>
      </c>
      <c r="X70" s="123">
        <v>320</v>
      </c>
      <c r="Y70" s="124">
        <v>179.59</v>
      </c>
      <c r="Z70" s="122">
        <v>0.56000000000000005</v>
      </c>
      <c r="AA70" s="125">
        <v>260</v>
      </c>
      <c r="AB70" s="121">
        <v>169.804</v>
      </c>
      <c r="AC70" s="122">
        <v>0.56999999999999995</v>
      </c>
      <c r="AD70" s="123">
        <v>200</v>
      </c>
      <c r="AE70" s="124">
        <v>178.09899999999999</v>
      </c>
      <c r="AF70" s="126">
        <v>1.518</v>
      </c>
      <c r="AG70" s="123">
        <v>140</v>
      </c>
      <c r="AH70" s="127" t="str">
        <f t="shared" si="2"/>
        <v>D</v>
      </c>
      <c r="AI70" s="129"/>
      <c r="AJ70" s="127" t="str">
        <f t="shared" si="3"/>
        <v>2025-03-15-7호방-316LDS1-N33842</v>
      </c>
    </row>
    <row r="71" spans="1:36" s="127" customFormat="1" x14ac:dyDescent="0.25">
      <c r="A71" s="118">
        <v>71</v>
      </c>
      <c r="B71" s="119" t="s">
        <v>80</v>
      </c>
      <c r="C71" s="119" t="s">
        <v>142</v>
      </c>
      <c r="D71" s="119">
        <v>1</v>
      </c>
      <c r="E71" s="119" t="s">
        <v>185</v>
      </c>
      <c r="F71" s="119" t="s">
        <v>41</v>
      </c>
      <c r="G71" s="119">
        <v>267</v>
      </c>
      <c r="H71" s="119" t="s">
        <v>80</v>
      </c>
      <c r="I71" s="119" t="s">
        <v>263</v>
      </c>
      <c r="J71" s="119" t="s">
        <v>80</v>
      </c>
      <c r="K71" s="119" t="s">
        <v>264</v>
      </c>
      <c r="L71" s="120" t="s">
        <v>51</v>
      </c>
      <c r="M71" s="118"/>
      <c r="N71" s="119"/>
      <c r="O71" s="120" t="s">
        <v>304</v>
      </c>
      <c r="P71" s="121">
        <v>47.343899999999998</v>
      </c>
      <c r="Q71" s="122">
        <v>1.3</v>
      </c>
      <c r="R71" s="123">
        <v>415</v>
      </c>
      <c r="S71" s="124">
        <v>106.524</v>
      </c>
      <c r="T71" s="122">
        <v>1.3</v>
      </c>
      <c r="U71" s="125">
        <v>370</v>
      </c>
      <c r="V71" s="121">
        <v>128.239</v>
      </c>
      <c r="W71" s="122">
        <v>0.54400000000000004</v>
      </c>
      <c r="X71" s="123">
        <v>320</v>
      </c>
      <c r="Y71" s="124">
        <v>180.149</v>
      </c>
      <c r="Z71" s="122">
        <v>0.56000000000000005</v>
      </c>
      <c r="AA71" s="125">
        <v>260</v>
      </c>
      <c r="AB71" s="121">
        <v>169.059</v>
      </c>
      <c r="AC71" s="122">
        <v>0.56999999999999995</v>
      </c>
      <c r="AD71" s="123">
        <v>200</v>
      </c>
      <c r="AE71" s="124">
        <v>178.84399999999999</v>
      </c>
      <c r="AF71" s="126">
        <v>1.518</v>
      </c>
      <c r="AG71" s="123">
        <v>140</v>
      </c>
      <c r="AH71" s="127" t="str">
        <f t="shared" si="2"/>
        <v>D</v>
      </c>
      <c r="AI71" s="129"/>
      <c r="AJ71" s="127" t="str">
        <f t="shared" si="3"/>
        <v>2025-03-15-7호방-316LDS1-N33842</v>
      </c>
    </row>
    <row r="72" spans="1:36" s="127" customFormat="1" x14ac:dyDescent="0.25">
      <c r="A72" s="118">
        <v>72</v>
      </c>
      <c r="B72" s="119" t="s">
        <v>80</v>
      </c>
      <c r="C72" s="119" t="s">
        <v>143</v>
      </c>
      <c r="D72" s="119">
        <v>1</v>
      </c>
      <c r="E72" s="119" t="s">
        <v>185</v>
      </c>
      <c r="F72" s="119" t="s">
        <v>41</v>
      </c>
      <c r="G72" s="119">
        <v>267</v>
      </c>
      <c r="H72" s="119" t="s">
        <v>80</v>
      </c>
      <c r="I72" s="119" t="s">
        <v>264</v>
      </c>
      <c r="J72" s="119" t="s">
        <v>80</v>
      </c>
      <c r="K72" s="119" t="s">
        <v>265</v>
      </c>
      <c r="L72" s="120" t="s">
        <v>52</v>
      </c>
      <c r="M72" s="118"/>
      <c r="N72" s="119"/>
      <c r="O72" s="120" t="s">
        <v>304</v>
      </c>
      <c r="P72" s="121">
        <v>48.835000000000001</v>
      </c>
      <c r="Q72" s="122">
        <v>1.3</v>
      </c>
      <c r="R72" s="123">
        <v>415</v>
      </c>
      <c r="S72" s="124">
        <v>107.642</v>
      </c>
      <c r="T72" s="122">
        <v>1.3</v>
      </c>
      <c r="U72" s="125">
        <v>370</v>
      </c>
      <c r="V72" s="121">
        <v>129.26400000000001</v>
      </c>
      <c r="W72" s="122">
        <v>0.54400000000000004</v>
      </c>
      <c r="X72" s="123">
        <v>320</v>
      </c>
      <c r="Y72" s="124">
        <v>174.744</v>
      </c>
      <c r="Z72" s="122">
        <v>0.56000000000000005</v>
      </c>
      <c r="AA72" s="125">
        <v>260</v>
      </c>
      <c r="AB72" s="121">
        <v>170.55</v>
      </c>
      <c r="AC72" s="122">
        <v>0.56999999999999995</v>
      </c>
      <c r="AD72" s="123">
        <v>200</v>
      </c>
      <c r="AE72" s="124">
        <v>177.446</v>
      </c>
      <c r="AF72" s="126">
        <v>1.518</v>
      </c>
      <c r="AG72" s="123">
        <v>140</v>
      </c>
      <c r="AH72" s="127" t="str">
        <f t="shared" si="2"/>
        <v>D</v>
      </c>
      <c r="AI72" s="129"/>
      <c r="AJ72" s="127" t="str">
        <f t="shared" si="3"/>
        <v>2025-03-15-7호방-316LDS1-N33842</v>
      </c>
    </row>
    <row r="73" spans="1:36" s="127" customFormat="1" x14ac:dyDescent="0.25">
      <c r="A73" s="118">
        <v>73</v>
      </c>
      <c r="B73" s="119" t="s">
        <v>80</v>
      </c>
      <c r="C73" s="119" t="s">
        <v>144</v>
      </c>
      <c r="D73" s="119">
        <v>1</v>
      </c>
      <c r="E73" s="119" t="s">
        <v>185</v>
      </c>
      <c r="F73" s="119" t="s">
        <v>41</v>
      </c>
      <c r="G73" s="119">
        <v>267</v>
      </c>
      <c r="H73" s="119" t="s">
        <v>80</v>
      </c>
      <c r="I73" s="119" t="s">
        <v>265</v>
      </c>
      <c r="J73" s="119" t="s">
        <v>80</v>
      </c>
      <c r="K73" s="119" t="s">
        <v>266</v>
      </c>
      <c r="L73" s="120" t="s">
        <v>53</v>
      </c>
      <c r="M73" s="118"/>
      <c r="N73" s="119"/>
      <c r="O73" s="120" t="s">
        <v>304</v>
      </c>
      <c r="P73" s="130">
        <v>67.474400000000003</v>
      </c>
      <c r="Q73" s="131">
        <v>2.0195400000000001</v>
      </c>
      <c r="R73" s="132">
        <v>415</v>
      </c>
      <c r="S73" s="133">
        <v>116.40300000000001</v>
      </c>
      <c r="T73" s="131">
        <v>1.3</v>
      </c>
      <c r="U73" s="134">
        <v>370</v>
      </c>
      <c r="V73" s="135">
        <v>148.46199999999999</v>
      </c>
      <c r="W73" s="136">
        <v>0.54400000000000004</v>
      </c>
      <c r="X73" s="137">
        <v>320</v>
      </c>
      <c r="Y73" s="133">
        <v>184.995</v>
      </c>
      <c r="Z73" s="131">
        <v>0.56000000000000005</v>
      </c>
      <c r="AA73" s="134">
        <v>260</v>
      </c>
      <c r="AB73" s="135">
        <v>184.529</v>
      </c>
      <c r="AC73" s="136">
        <v>0.56000000000000005</v>
      </c>
      <c r="AD73" s="137">
        <v>200</v>
      </c>
      <c r="AE73" s="133">
        <v>206.15100000000001</v>
      </c>
      <c r="AF73" s="138">
        <v>1.518</v>
      </c>
      <c r="AG73" s="132">
        <v>140</v>
      </c>
      <c r="AI73" s="129"/>
      <c r="AJ73" s="127" t="str">
        <f t="shared" si="3"/>
        <v>2025-03-15-7호방-316LDS1-N33842</v>
      </c>
    </row>
    <row r="74" spans="1:36" s="127" customFormat="1" x14ac:dyDescent="0.25">
      <c r="A74" s="118">
        <v>74</v>
      </c>
      <c r="B74" s="119" t="s">
        <v>80</v>
      </c>
      <c r="C74" s="119" t="s">
        <v>145</v>
      </c>
      <c r="D74" s="119">
        <v>1</v>
      </c>
      <c r="E74" s="119" t="s">
        <v>185</v>
      </c>
      <c r="F74" s="139" t="s">
        <v>41</v>
      </c>
      <c r="G74" s="119">
        <v>267</v>
      </c>
      <c r="H74" s="119" t="s">
        <v>80</v>
      </c>
      <c r="I74" s="119" t="s">
        <v>267</v>
      </c>
      <c r="J74" s="119" t="s">
        <v>80</v>
      </c>
      <c r="K74" s="119" t="s">
        <v>268</v>
      </c>
      <c r="L74" s="120" t="s">
        <v>54</v>
      </c>
      <c r="M74" s="118"/>
      <c r="N74" s="119"/>
      <c r="O74" s="120" t="s">
        <v>304</v>
      </c>
      <c r="P74" s="121">
        <v>46.505099999999999</v>
      </c>
      <c r="Q74" s="122">
        <v>1.3</v>
      </c>
      <c r="R74" s="123">
        <v>415</v>
      </c>
      <c r="S74" s="124">
        <v>103.169</v>
      </c>
      <c r="T74" s="122">
        <v>1.3</v>
      </c>
      <c r="U74" s="125">
        <v>370</v>
      </c>
      <c r="V74" s="121">
        <v>121.901</v>
      </c>
      <c r="W74" s="122">
        <v>0.54400000000000004</v>
      </c>
      <c r="X74" s="123">
        <v>320</v>
      </c>
      <c r="Y74" s="124">
        <v>168.59299999999999</v>
      </c>
      <c r="Z74" s="122">
        <v>0.56000000000000005</v>
      </c>
      <c r="AA74" s="125">
        <v>260</v>
      </c>
      <c r="AB74" s="121">
        <v>162.62799999999999</v>
      </c>
      <c r="AC74" s="122">
        <v>0.56999999999999995</v>
      </c>
      <c r="AD74" s="123">
        <v>200</v>
      </c>
      <c r="AE74" s="124">
        <v>172.88</v>
      </c>
      <c r="AF74" s="126">
        <v>1.518</v>
      </c>
      <c r="AG74" s="123">
        <v>140</v>
      </c>
      <c r="AH74" s="127" t="str">
        <f t="shared" si="2"/>
        <v>D</v>
      </c>
      <c r="AI74" s="129"/>
      <c r="AJ74" s="127" t="str">
        <f t="shared" si="3"/>
        <v>2025-03-15-7호방-316LDS1-N33842</v>
      </c>
    </row>
    <row r="75" spans="1:36" x14ac:dyDescent="0.2">
      <c r="A75" s="4">
        <v>75</v>
      </c>
      <c r="B75" s="2" t="s">
        <v>81</v>
      </c>
      <c r="C75" s="2" t="s">
        <v>146</v>
      </c>
      <c r="D75" s="2">
        <v>1</v>
      </c>
      <c r="E75" s="2" t="s">
        <v>17</v>
      </c>
      <c r="F75" s="2" t="s">
        <v>40</v>
      </c>
      <c r="G75" s="2">
        <v>300</v>
      </c>
      <c r="H75" s="2" t="s">
        <v>81</v>
      </c>
      <c r="I75" s="2" t="s">
        <v>201</v>
      </c>
      <c r="J75" s="2" t="s">
        <v>81</v>
      </c>
      <c r="K75" s="2" t="s">
        <v>222</v>
      </c>
      <c r="L75" s="5" t="s">
        <v>307</v>
      </c>
      <c r="M75" s="4"/>
      <c r="N75" s="2"/>
      <c r="O75" s="5" t="s">
        <v>304</v>
      </c>
      <c r="P75" s="25"/>
      <c r="Q75" s="53"/>
      <c r="R75" s="26"/>
      <c r="S75" s="27"/>
      <c r="T75" s="53"/>
      <c r="U75" s="28"/>
      <c r="V75" s="25"/>
      <c r="W75" s="53"/>
      <c r="X75" s="26"/>
      <c r="Y75" s="27"/>
      <c r="Z75" s="53"/>
      <c r="AA75" s="28"/>
      <c r="AB75" s="25"/>
      <c r="AC75" s="53"/>
      <c r="AD75" s="26"/>
      <c r="AE75" s="27"/>
      <c r="AF75" s="36"/>
      <c r="AG75" s="26"/>
      <c r="AH75" t="str">
        <f t="shared" si="2"/>
        <v/>
      </c>
      <c r="AI75" s="69" t="s">
        <v>326</v>
      </c>
      <c r="AJ75" s="61" t="str">
        <f t="shared" si="3"/>
        <v>2025-03-22-7호방-304LDS1-N33305</v>
      </c>
    </row>
    <row r="76" spans="1:36" x14ac:dyDescent="0.4">
      <c r="A76" s="4">
        <v>76</v>
      </c>
      <c r="B76" s="2" t="s">
        <v>81</v>
      </c>
      <c r="C76" s="2" t="s">
        <v>147</v>
      </c>
      <c r="D76" s="2">
        <v>1</v>
      </c>
      <c r="E76" s="2" t="s">
        <v>178</v>
      </c>
      <c r="F76" s="2" t="s">
        <v>40</v>
      </c>
      <c r="G76" s="2">
        <v>300</v>
      </c>
      <c r="H76" s="2" t="s">
        <v>81</v>
      </c>
      <c r="I76" s="2" t="s">
        <v>269</v>
      </c>
      <c r="J76" s="2" t="s">
        <v>81</v>
      </c>
      <c r="K76" s="2" t="s">
        <v>205</v>
      </c>
      <c r="L76" s="5" t="s">
        <v>309</v>
      </c>
      <c r="M76" s="4"/>
      <c r="N76" s="2"/>
      <c r="O76" s="5" t="s">
        <v>304</v>
      </c>
      <c r="P76" s="25"/>
      <c r="Q76" s="53"/>
      <c r="R76" s="26"/>
      <c r="S76" s="27"/>
      <c r="T76" s="53"/>
      <c r="U76" s="28"/>
      <c r="V76" s="25"/>
      <c r="W76" s="53"/>
      <c r="X76" s="26"/>
      <c r="Y76" s="27"/>
      <c r="Z76" s="53"/>
      <c r="AA76" s="28"/>
      <c r="AB76" s="25"/>
      <c r="AC76" s="53"/>
      <c r="AD76" s="26"/>
      <c r="AE76" s="27"/>
      <c r="AF76" s="36"/>
      <c r="AG76" s="26"/>
      <c r="AH76" t="str">
        <f t="shared" si="2"/>
        <v/>
      </c>
      <c r="AI76" s="70"/>
      <c r="AJ76" s="61" t="str">
        <f t="shared" si="3"/>
        <v>2025-03-22-7호방-304LDS1-N33502</v>
      </c>
    </row>
    <row r="77" spans="1:36" x14ac:dyDescent="0.4">
      <c r="A77" s="4">
        <v>77</v>
      </c>
      <c r="B77" s="2" t="s">
        <v>81</v>
      </c>
      <c r="C77" s="2" t="s">
        <v>148</v>
      </c>
      <c r="D77" s="2">
        <v>1</v>
      </c>
      <c r="E77" s="2" t="s">
        <v>181</v>
      </c>
      <c r="F77" s="2" t="s">
        <v>40</v>
      </c>
      <c r="G77" s="2">
        <v>300</v>
      </c>
      <c r="H77" s="2" t="s">
        <v>81</v>
      </c>
      <c r="I77" s="2" t="s">
        <v>270</v>
      </c>
      <c r="J77" s="2" t="s">
        <v>81</v>
      </c>
      <c r="K77" s="2" t="s">
        <v>271</v>
      </c>
      <c r="L77" s="5" t="s">
        <v>12</v>
      </c>
      <c r="M77" s="4"/>
      <c r="N77" s="2"/>
      <c r="O77" s="5" t="s">
        <v>304</v>
      </c>
      <c r="P77" s="25"/>
      <c r="Q77" s="53"/>
      <c r="R77" s="26"/>
      <c r="S77" s="27"/>
      <c r="T77" s="53"/>
      <c r="U77" s="28"/>
      <c r="V77" s="25"/>
      <c r="W77" s="53"/>
      <c r="X77" s="26"/>
      <c r="Y77" s="27"/>
      <c r="Z77" s="53"/>
      <c r="AA77" s="28"/>
      <c r="AB77" s="25"/>
      <c r="AC77" s="53"/>
      <c r="AD77" s="26"/>
      <c r="AE77" s="27"/>
      <c r="AF77" s="36"/>
      <c r="AG77" s="26"/>
      <c r="AH77" t="str">
        <f t="shared" si="2"/>
        <v/>
      </c>
      <c r="AI77" s="70"/>
      <c r="AJ77" s="61" t="str">
        <f t="shared" si="3"/>
        <v>2025-03-22-7호방-304LDS1-N33693</v>
      </c>
    </row>
    <row r="78" spans="1:36" x14ac:dyDescent="0.4">
      <c r="A78" s="4">
        <v>78</v>
      </c>
      <c r="B78" s="2" t="s">
        <v>81</v>
      </c>
      <c r="C78" s="2" t="s">
        <v>149</v>
      </c>
      <c r="D78" s="2">
        <v>1</v>
      </c>
      <c r="E78" s="2" t="s">
        <v>180</v>
      </c>
      <c r="F78" s="2" t="s">
        <v>40</v>
      </c>
      <c r="G78" s="2">
        <v>300</v>
      </c>
      <c r="H78" s="2" t="s">
        <v>81</v>
      </c>
      <c r="I78" s="2" t="s">
        <v>271</v>
      </c>
      <c r="J78" s="2" t="s">
        <v>81</v>
      </c>
      <c r="K78" s="2" t="s">
        <v>272</v>
      </c>
      <c r="L78" s="5" t="s">
        <v>13</v>
      </c>
      <c r="M78" s="4"/>
      <c r="N78" s="2"/>
      <c r="O78" s="5" t="s">
        <v>304</v>
      </c>
      <c r="P78" s="25"/>
      <c r="Q78" s="53"/>
      <c r="R78" s="26"/>
      <c r="S78" s="27"/>
      <c r="T78" s="53"/>
      <c r="U78" s="28"/>
      <c r="V78" s="25"/>
      <c r="W78" s="53"/>
      <c r="X78" s="26"/>
      <c r="Y78" s="27"/>
      <c r="Z78" s="53"/>
      <c r="AA78" s="28"/>
      <c r="AB78" s="25"/>
      <c r="AC78" s="53"/>
      <c r="AD78" s="26"/>
      <c r="AE78" s="27"/>
      <c r="AF78" s="36"/>
      <c r="AG78" s="26"/>
      <c r="AH78" t="str">
        <f t="shared" si="2"/>
        <v/>
      </c>
      <c r="AI78" s="70"/>
      <c r="AJ78" s="61" t="str">
        <f t="shared" si="3"/>
        <v>2025-03-22-7호방-304LDS1-N33828</v>
      </c>
    </row>
    <row r="79" spans="1:36" x14ac:dyDescent="0.4">
      <c r="A79" s="4">
        <v>79</v>
      </c>
      <c r="B79" s="2" t="s">
        <v>81</v>
      </c>
      <c r="C79" s="2" t="s">
        <v>150</v>
      </c>
      <c r="D79" s="2">
        <v>1</v>
      </c>
      <c r="E79" s="2" t="s">
        <v>180</v>
      </c>
      <c r="F79" s="2" t="s">
        <v>40</v>
      </c>
      <c r="G79" s="2">
        <v>300</v>
      </c>
      <c r="H79" s="2" t="s">
        <v>81</v>
      </c>
      <c r="I79" s="2" t="s">
        <v>272</v>
      </c>
      <c r="J79" s="2" t="s">
        <v>81</v>
      </c>
      <c r="K79" s="2" t="s">
        <v>273</v>
      </c>
      <c r="L79" s="5" t="s">
        <v>14</v>
      </c>
      <c r="M79" s="4"/>
      <c r="N79" s="2"/>
      <c r="O79" s="5" t="s">
        <v>304</v>
      </c>
      <c r="P79" s="25"/>
      <c r="Q79" s="53"/>
      <c r="R79" s="26"/>
      <c r="S79" s="27"/>
      <c r="T79" s="53"/>
      <c r="U79" s="28"/>
      <c r="V79" s="25"/>
      <c r="W79" s="53"/>
      <c r="X79" s="26"/>
      <c r="Y79" s="27"/>
      <c r="Z79" s="53"/>
      <c r="AA79" s="28"/>
      <c r="AB79" s="25"/>
      <c r="AC79" s="53"/>
      <c r="AD79" s="26"/>
      <c r="AE79" s="27"/>
      <c r="AF79" s="36"/>
      <c r="AG79" s="26"/>
      <c r="AH79" t="str">
        <f t="shared" si="2"/>
        <v/>
      </c>
      <c r="AI79" s="70"/>
      <c r="AJ79" s="61" t="str">
        <f t="shared" si="3"/>
        <v>2025-03-22-7호방-304LDS1-N33828</v>
      </c>
    </row>
    <row r="80" spans="1:36" x14ac:dyDescent="0.4">
      <c r="A80" s="4">
        <v>80</v>
      </c>
      <c r="B80" s="2" t="s">
        <v>81</v>
      </c>
      <c r="C80" s="2" t="s">
        <v>151</v>
      </c>
      <c r="D80" s="2">
        <v>1</v>
      </c>
      <c r="E80" s="2" t="s">
        <v>182</v>
      </c>
      <c r="F80" s="2" t="s">
        <v>41</v>
      </c>
      <c r="G80" s="2">
        <v>300</v>
      </c>
      <c r="H80" s="2" t="s">
        <v>81</v>
      </c>
      <c r="I80" s="2" t="s">
        <v>273</v>
      </c>
      <c r="J80" s="2" t="s">
        <v>81</v>
      </c>
      <c r="K80" s="2" t="s">
        <v>274</v>
      </c>
      <c r="L80" s="5" t="s">
        <v>310</v>
      </c>
      <c r="M80" s="4"/>
      <c r="N80" s="2"/>
      <c r="O80" s="5" t="s">
        <v>304</v>
      </c>
      <c r="P80" s="25"/>
      <c r="Q80" s="53"/>
      <c r="R80" s="26"/>
      <c r="S80" s="27"/>
      <c r="T80" s="53"/>
      <c r="U80" s="28"/>
      <c r="V80" s="25"/>
      <c r="W80" s="53"/>
      <c r="X80" s="26"/>
      <c r="Y80" s="27"/>
      <c r="Z80" s="53"/>
      <c r="AA80" s="28"/>
      <c r="AB80" s="25"/>
      <c r="AC80" s="53"/>
      <c r="AD80" s="26"/>
      <c r="AE80" s="27"/>
      <c r="AF80" s="36"/>
      <c r="AG80" s="26"/>
      <c r="AH80" t="str">
        <f t="shared" si="2"/>
        <v/>
      </c>
      <c r="AI80" s="70"/>
      <c r="AJ80" s="61" t="str">
        <f t="shared" si="3"/>
        <v>2025-03-22-7호방-316LDS1-N33671</v>
      </c>
    </row>
    <row r="81" spans="1:36" x14ac:dyDescent="0.4">
      <c r="A81" s="4">
        <v>81</v>
      </c>
      <c r="B81" s="2" t="s">
        <v>81</v>
      </c>
      <c r="C81" s="2" t="s">
        <v>152</v>
      </c>
      <c r="D81" s="2">
        <v>1</v>
      </c>
      <c r="E81" s="2" t="s">
        <v>182</v>
      </c>
      <c r="F81" s="2" t="s">
        <v>41</v>
      </c>
      <c r="G81" s="2">
        <v>300</v>
      </c>
      <c r="H81" s="2" t="s">
        <v>81</v>
      </c>
      <c r="I81" s="2" t="s">
        <v>274</v>
      </c>
      <c r="J81" s="2" t="s">
        <v>81</v>
      </c>
      <c r="K81" s="2" t="s">
        <v>275</v>
      </c>
      <c r="L81" s="5" t="s">
        <v>51</v>
      </c>
      <c r="M81" s="4"/>
      <c r="N81" s="2"/>
      <c r="O81" s="5" t="s">
        <v>304</v>
      </c>
      <c r="P81" s="25"/>
      <c r="Q81" s="53"/>
      <c r="R81" s="26"/>
      <c r="S81" s="27"/>
      <c r="T81" s="53"/>
      <c r="U81" s="28"/>
      <c r="V81" s="25"/>
      <c r="W81" s="53"/>
      <c r="X81" s="26"/>
      <c r="Y81" s="27"/>
      <c r="Z81" s="53"/>
      <c r="AA81" s="28"/>
      <c r="AB81" s="25"/>
      <c r="AC81" s="53"/>
      <c r="AD81" s="26"/>
      <c r="AE81" s="27"/>
      <c r="AF81" s="36"/>
      <c r="AG81" s="26"/>
      <c r="AH81" t="str">
        <f t="shared" si="2"/>
        <v/>
      </c>
      <c r="AI81" s="70"/>
      <c r="AJ81" s="61" t="str">
        <f t="shared" si="3"/>
        <v>2025-03-22-7호방-316LDS1-N33671</v>
      </c>
    </row>
    <row r="82" spans="1:36" x14ac:dyDescent="0.4">
      <c r="A82" s="4">
        <v>82</v>
      </c>
      <c r="B82" s="2" t="s">
        <v>81</v>
      </c>
      <c r="C82" s="2" t="s">
        <v>153</v>
      </c>
      <c r="D82" s="2">
        <v>1</v>
      </c>
      <c r="E82" s="2" t="s">
        <v>182</v>
      </c>
      <c r="F82" s="2" t="s">
        <v>41</v>
      </c>
      <c r="G82" s="2">
        <v>300</v>
      </c>
      <c r="H82" s="2" t="s">
        <v>81</v>
      </c>
      <c r="I82" s="2" t="s">
        <v>275</v>
      </c>
      <c r="J82" s="2" t="s">
        <v>81</v>
      </c>
      <c r="K82" s="2" t="s">
        <v>276</v>
      </c>
      <c r="L82" s="5" t="s">
        <v>52</v>
      </c>
      <c r="M82" s="4"/>
      <c r="N82" s="2"/>
      <c r="O82" s="5" t="s">
        <v>304</v>
      </c>
      <c r="P82" s="25"/>
      <c r="Q82" s="53"/>
      <c r="R82" s="26"/>
      <c r="S82" s="27"/>
      <c r="T82" s="53"/>
      <c r="U82" s="28"/>
      <c r="V82" s="25"/>
      <c r="W82" s="53"/>
      <c r="X82" s="26"/>
      <c r="Y82" s="27"/>
      <c r="Z82" s="53"/>
      <c r="AA82" s="28"/>
      <c r="AB82" s="25"/>
      <c r="AC82" s="53"/>
      <c r="AD82" s="26"/>
      <c r="AE82" s="27"/>
      <c r="AF82" s="36"/>
      <c r="AG82" s="26"/>
      <c r="AH82" t="str">
        <f t="shared" si="2"/>
        <v/>
      </c>
      <c r="AI82" s="70"/>
      <c r="AJ82" s="61" t="str">
        <f t="shared" si="3"/>
        <v>2025-03-22-7호방-316LDS1-N33671</v>
      </c>
    </row>
    <row r="83" spans="1:36" x14ac:dyDescent="0.4">
      <c r="A83" s="4">
        <v>83</v>
      </c>
      <c r="B83" s="2" t="s">
        <v>81</v>
      </c>
      <c r="C83" s="2" t="s">
        <v>154</v>
      </c>
      <c r="D83" s="2">
        <v>1</v>
      </c>
      <c r="E83" s="2" t="s">
        <v>182</v>
      </c>
      <c r="F83" s="2" t="s">
        <v>41</v>
      </c>
      <c r="G83" s="2">
        <v>300</v>
      </c>
      <c r="H83" s="2" t="s">
        <v>81</v>
      </c>
      <c r="I83" s="2" t="s">
        <v>276</v>
      </c>
      <c r="J83" s="2" t="s">
        <v>81</v>
      </c>
      <c r="K83" s="2" t="s">
        <v>277</v>
      </c>
      <c r="L83" s="5" t="s">
        <v>53</v>
      </c>
      <c r="M83" s="4"/>
      <c r="N83" s="2"/>
      <c r="O83" s="5" t="s">
        <v>304</v>
      </c>
      <c r="P83" s="25"/>
      <c r="Q83" s="53"/>
      <c r="R83" s="26"/>
      <c r="S83" s="27"/>
      <c r="T83" s="53"/>
      <c r="U83" s="28"/>
      <c r="V83" s="25"/>
      <c r="W83" s="53"/>
      <c r="X83" s="26"/>
      <c r="Y83" s="27"/>
      <c r="Z83" s="53"/>
      <c r="AA83" s="28"/>
      <c r="AB83" s="25"/>
      <c r="AC83" s="53"/>
      <c r="AD83" s="26"/>
      <c r="AE83" s="27"/>
      <c r="AF83" s="36"/>
      <c r="AG83" s="26"/>
      <c r="AH83" t="str">
        <f t="shared" si="2"/>
        <v/>
      </c>
      <c r="AI83" s="70"/>
      <c r="AJ83" s="61" t="str">
        <f t="shared" si="3"/>
        <v>2025-03-22-7호방-316LDS1-N33671</v>
      </c>
    </row>
    <row r="84" spans="1:36" x14ac:dyDescent="0.4">
      <c r="A84" s="4">
        <v>84</v>
      </c>
      <c r="B84" s="2" t="s">
        <v>81</v>
      </c>
      <c r="C84" s="2" t="s">
        <v>155</v>
      </c>
      <c r="D84" s="2">
        <v>1</v>
      </c>
      <c r="E84" s="2" t="s">
        <v>183</v>
      </c>
      <c r="F84" s="2" t="s">
        <v>41</v>
      </c>
      <c r="G84" s="2">
        <v>300</v>
      </c>
      <c r="H84" s="2" t="s">
        <v>81</v>
      </c>
      <c r="I84" s="2" t="s">
        <v>277</v>
      </c>
      <c r="J84" s="2" t="s">
        <v>81</v>
      </c>
      <c r="K84" s="2" t="s">
        <v>278</v>
      </c>
      <c r="L84" s="5" t="s">
        <v>54</v>
      </c>
      <c r="M84" s="4"/>
      <c r="N84" s="2"/>
      <c r="O84" s="5" t="s">
        <v>304</v>
      </c>
      <c r="P84" s="25"/>
      <c r="Q84" s="53"/>
      <c r="R84" s="26"/>
      <c r="S84" s="27"/>
      <c r="T84" s="53"/>
      <c r="U84" s="28"/>
      <c r="V84" s="25"/>
      <c r="W84" s="53"/>
      <c r="X84" s="26"/>
      <c r="Y84" s="27"/>
      <c r="Z84" s="53"/>
      <c r="AA84" s="28"/>
      <c r="AB84" s="25"/>
      <c r="AC84" s="53"/>
      <c r="AD84" s="26"/>
      <c r="AE84" s="27"/>
      <c r="AF84" s="36"/>
      <c r="AG84" s="26"/>
      <c r="AH84" t="str">
        <f t="shared" si="2"/>
        <v/>
      </c>
      <c r="AI84" s="70"/>
      <c r="AJ84" s="61" t="str">
        <f t="shared" si="3"/>
        <v>2025-03-22-7호방-316LDS1-N33862</v>
      </c>
    </row>
    <row r="85" spans="1:36" x14ac:dyDescent="0.2">
      <c r="A85" s="4">
        <v>85</v>
      </c>
      <c r="B85" s="2" t="s">
        <v>81</v>
      </c>
      <c r="C85" s="2" t="s">
        <v>156</v>
      </c>
      <c r="D85" s="2">
        <v>1</v>
      </c>
      <c r="E85" s="2" t="s">
        <v>183</v>
      </c>
      <c r="F85" s="2" t="s">
        <v>41</v>
      </c>
      <c r="G85" s="2">
        <v>300</v>
      </c>
      <c r="H85" s="2" t="s">
        <v>81</v>
      </c>
      <c r="I85" s="2" t="s">
        <v>279</v>
      </c>
      <c r="J85" s="2" t="s">
        <v>81</v>
      </c>
      <c r="K85" s="2" t="s">
        <v>280</v>
      </c>
      <c r="L85" s="5" t="s">
        <v>307</v>
      </c>
      <c r="M85" s="4"/>
      <c r="N85" s="2"/>
      <c r="O85" s="5" t="s">
        <v>306</v>
      </c>
      <c r="P85" s="25">
        <v>46.411900000000003</v>
      </c>
      <c r="Q85" s="53">
        <v>0.97579300000000002</v>
      </c>
      <c r="R85" s="26">
        <v>450</v>
      </c>
      <c r="S85" s="27">
        <v>113.14100000000001</v>
      </c>
      <c r="T85" s="53">
        <v>1.7255</v>
      </c>
      <c r="U85" s="28">
        <v>415</v>
      </c>
      <c r="V85" s="25">
        <v>140.447</v>
      </c>
      <c r="W85" s="53">
        <v>0.92815599999999998</v>
      </c>
      <c r="X85" s="26">
        <v>365</v>
      </c>
      <c r="Y85" s="27">
        <v>201.77099999999999</v>
      </c>
      <c r="Z85" s="53">
        <v>1.50715</v>
      </c>
      <c r="AA85" s="28">
        <v>315</v>
      </c>
      <c r="AB85" s="25">
        <v>177.07400000000001</v>
      </c>
      <c r="AC85" s="53">
        <v>1.3043</v>
      </c>
      <c r="AD85" s="26">
        <v>265</v>
      </c>
      <c r="AE85" s="27">
        <v>173.905</v>
      </c>
      <c r="AF85" s="36">
        <v>1.6837599999999999</v>
      </c>
      <c r="AG85" s="26">
        <v>215</v>
      </c>
      <c r="AH85" t="str">
        <f t="shared" si="2"/>
        <v>U</v>
      </c>
      <c r="AI85" s="67" t="s">
        <v>328</v>
      </c>
      <c r="AJ85" s="71" t="str">
        <f t="shared" si="3"/>
        <v>2025-03-22-6호방-316LDS1-N33862</v>
      </c>
    </row>
    <row r="86" spans="1:36" x14ac:dyDescent="0.25">
      <c r="A86" s="4">
        <v>86</v>
      </c>
      <c r="B86" s="2" t="s">
        <v>81</v>
      </c>
      <c r="C86" s="2" t="s">
        <v>157</v>
      </c>
      <c r="D86" s="2">
        <v>1</v>
      </c>
      <c r="E86" s="2" t="s">
        <v>183</v>
      </c>
      <c r="F86" s="2" t="s">
        <v>41</v>
      </c>
      <c r="G86" s="2">
        <v>300</v>
      </c>
      <c r="H86" s="2" t="s">
        <v>81</v>
      </c>
      <c r="I86" s="2" t="s">
        <v>281</v>
      </c>
      <c r="J86" s="2" t="s">
        <v>81</v>
      </c>
      <c r="K86" s="2" t="s">
        <v>281</v>
      </c>
      <c r="L86" s="5" t="s">
        <v>309</v>
      </c>
      <c r="M86" s="4"/>
      <c r="N86" s="2"/>
      <c r="O86" s="5" t="s">
        <v>306</v>
      </c>
      <c r="P86" s="25">
        <v>43.616</v>
      </c>
      <c r="Q86" s="53">
        <v>0.78891100000000003</v>
      </c>
      <c r="R86" s="26">
        <v>450</v>
      </c>
      <c r="S86" s="27">
        <v>109.786</v>
      </c>
      <c r="T86" s="53">
        <v>1.63422</v>
      </c>
      <c r="U86" s="28">
        <v>415</v>
      </c>
      <c r="V86" s="25">
        <v>115.005</v>
      </c>
      <c r="W86" s="53">
        <v>1.13228</v>
      </c>
      <c r="X86" s="26">
        <v>365</v>
      </c>
      <c r="Y86" s="27">
        <v>169.99100000000001</v>
      </c>
      <c r="Z86" s="53">
        <v>1.9131100000000001</v>
      </c>
      <c r="AA86" s="28">
        <v>315</v>
      </c>
      <c r="AB86" s="25">
        <v>157.596</v>
      </c>
      <c r="AC86" s="53">
        <v>1.3235699999999999</v>
      </c>
      <c r="AD86" s="26">
        <v>265</v>
      </c>
      <c r="AE86" s="27">
        <v>167.19499999999999</v>
      </c>
      <c r="AF86" s="36">
        <v>1.6388</v>
      </c>
      <c r="AG86" s="26">
        <v>215</v>
      </c>
      <c r="AH86" t="str">
        <f t="shared" si="2"/>
        <v>U</v>
      </c>
      <c r="AI86" s="68"/>
      <c r="AJ86" s="71" t="str">
        <f t="shared" si="3"/>
        <v>2025-03-22-6호방-316LDS1-N33862</v>
      </c>
    </row>
    <row r="87" spans="1:36" x14ac:dyDescent="0.25">
      <c r="A87" s="4">
        <v>87</v>
      </c>
      <c r="B87" s="2" t="s">
        <v>81</v>
      </c>
      <c r="C87" s="2" t="s">
        <v>158</v>
      </c>
      <c r="D87" s="2">
        <v>1</v>
      </c>
      <c r="E87" s="2" t="s">
        <v>183</v>
      </c>
      <c r="F87" s="2" t="s">
        <v>41</v>
      </c>
      <c r="G87" s="2">
        <v>300</v>
      </c>
      <c r="H87" s="2" t="s">
        <v>81</v>
      </c>
      <c r="I87" s="2" t="s">
        <v>281</v>
      </c>
      <c r="J87" s="2" t="s">
        <v>81</v>
      </c>
      <c r="K87" s="2" t="s">
        <v>282</v>
      </c>
      <c r="L87" s="5" t="s">
        <v>12</v>
      </c>
      <c r="M87" s="4"/>
      <c r="N87" s="2"/>
      <c r="O87" s="5" t="s">
        <v>306</v>
      </c>
      <c r="P87" s="25">
        <v>48.555500000000002</v>
      </c>
      <c r="Q87" s="53">
        <v>0.78753499999999999</v>
      </c>
      <c r="R87" s="26">
        <v>450</v>
      </c>
      <c r="S87" s="27">
        <v>113.23399999999999</v>
      </c>
      <c r="T87" s="53">
        <v>1.64523</v>
      </c>
      <c r="U87" s="28">
        <v>415</v>
      </c>
      <c r="V87" s="25">
        <v>129.357</v>
      </c>
      <c r="W87" s="53">
        <v>1.1244799999999999</v>
      </c>
      <c r="X87" s="26">
        <v>365</v>
      </c>
      <c r="Y87" s="27">
        <v>165.05099999999999</v>
      </c>
      <c r="Z87" s="53">
        <v>1.72688</v>
      </c>
      <c r="AA87" s="28">
        <v>315</v>
      </c>
      <c r="AB87" s="25">
        <v>164.399</v>
      </c>
      <c r="AC87" s="53">
        <v>1.5382400000000001</v>
      </c>
      <c r="AD87" s="26">
        <v>265</v>
      </c>
      <c r="AE87" s="27">
        <v>174.55699999999999</v>
      </c>
      <c r="AF87" s="36">
        <v>1.7447699999999999</v>
      </c>
      <c r="AG87" s="26">
        <v>215</v>
      </c>
      <c r="AH87" t="str">
        <f t="shared" si="2"/>
        <v>U</v>
      </c>
      <c r="AI87" s="68"/>
      <c r="AJ87" s="71" t="str">
        <f t="shared" si="3"/>
        <v>2025-03-22-6호방-316LDS1-N33862</v>
      </c>
    </row>
    <row r="88" spans="1:36" x14ac:dyDescent="0.25">
      <c r="A88" s="4">
        <v>88</v>
      </c>
      <c r="B88" s="2" t="s">
        <v>81</v>
      </c>
      <c r="C88" s="2" t="s">
        <v>159</v>
      </c>
      <c r="D88" s="2">
        <v>1</v>
      </c>
      <c r="E88" s="2" t="s">
        <v>183</v>
      </c>
      <c r="F88" s="2" t="s">
        <v>41</v>
      </c>
      <c r="G88" s="2">
        <v>300</v>
      </c>
      <c r="H88" s="2" t="s">
        <v>81</v>
      </c>
      <c r="I88" s="2" t="s">
        <v>282</v>
      </c>
      <c r="J88" s="2" t="s">
        <v>81</v>
      </c>
      <c r="K88" s="2" t="s">
        <v>283</v>
      </c>
      <c r="L88" s="5" t="s">
        <v>13</v>
      </c>
      <c r="M88" s="4"/>
      <c r="N88" s="2"/>
      <c r="O88" s="5" t="s">
        <v>306</v>
      </c>
      <c r="P88" s="25">
        <v>43.243200000000002</v>
      </c>
      <c r="Q88" s="53">
        <v>0.46533400000000003</v>
      </c>
      <c r="R88" s="26">
        <v>450</v>
      </c>
      <c r="S88" s="27">
        <v>111.556</v>
      </c>
      <c r="T88" s="53">
        <v>1.7704500000000001</v>
      </c>
      <c r="U88" s="28">
        <v>415</v>
      </c>
      <c r="V88" s="25">
        <v>144.268</v>
      </c>
      <c r="W88" s="53">
        <v>1.2093499999999999</v>
      </c>
      <c r="X88" s="26">
        <v>365</v>
      </c>
      <c r="Y88" s="27">
        <v>197.85599999999999</v>
      </c>
      <c r="Z88" s="53">
        <v>1.83972</v>
      </c>
      <c r="AA88" s="28">
        <v>315</v>
      </c>
      <c r="AB88" s="25">
        <v>179.87</v>
      </c>
      <c r="AC88" s="53">
        <v>1.54467</v>
      </c>
      <c r="AD88" s="26">
        <v>265</v>
      </c>
      <c r="AE88" s="27">
        <v>196.08600000000001</v>
      </c>
      <c r="AF88" s="36">
        <v>1.83788</v>
      </c>
      <c r="AG88" s="26">
        <v>215</v>
      </c>
      <c r="AH88" t="str">
        <f t="shared" si="2"/>
        <v>U</v>
      </c>
      <c r="AI88" s="68"/>
      <c r="AJ88" s="71" t="str">
        <f t="shared" si="3"/>
        <v>2025-03-22-6호방-316LDS1-N33862</v>
      </c>
    </row>
    <row r="89" spans="1:36" x14ac:dyDescent="0.25">
      <c r="A89" s="4">
        <v>89</v>
      </c>
      <c r="B89" s="2" t="s">
        <v>81</v>
      </c>
      <c r="C89" s="2" t="s">
        <v>160</v>
      </c>
      <c r="D89" s="2">
        <v>1</v>
      </c>
      <c r="E89" s="2" t="s">
        <v>183</v>
      </c>
      <c r="F89" s="2" t="s">
        <v>41</v>
      </c>
      <c r="G89" s="2">
        <v>300</v>
      </c>
      <c r="H89" s="2" t="s">
        <v>81</v>
      </c>
      <c r="I89" s="2" t="s">
        <v>283</v>
      </c>
      <c r="J89" s="2" t="s">
        <v>81</v>
      </c>
      <c r="K89" s="2" t="s">
        <v>284</v>
      </c>
      <c r="L89" s="5" t="s">
        <v>14</v>
      </c>
      <c r="M89" s="4"/>
      <c r="N89" s="2"/>
      <c r="O89" s="5" t="s">
        <v>306</v>
      </c>
      <c r="P89" s="25">
        <v>43.616</v>
      </c>
      <c r="Q89" s="53">
        <v>2.70035E-2</v>
      </c>
      <c r="R89" s="26">
        <v>450</v>
      </c>
      <c r="S89" s="27">
        <v>113.048</v>
      </c>
      <c r="T89" s="53">
        <v>1.6773400000000001</v>
      </c>
      <c r="U89" s="28">
        <v>415</v>
      </c>
      <c r="V89" s="25">
        <v>144.08199999999999</v>
      </c>
      <c r="W89" s="53">
        <v>1.2125600000000001</v>
      </c>
      <c r="X89" s="26">
        <v>365</v>
      </c>
      <c r="Y89" s="27">
        <v>203.16900000000001</v>
      </c>
      <c r="Z89" s="53">
        <v>1.69981</v>
      </c>
      <c r="AA89" s="28">
        <v>315</v>
      </c>
      <c r="AB89" s="25">
        <v>179.124</v>
      </c>
      <c r="AC89" s="53">
        <v>1.58182</v>
      </c>
      <c r="AD89" s="26">
        <v>265</v>
      </c>
      <c r="AE89" s="27">
        <v>181.45400000000001</v>
      </c>
      <c r="AF89" s="36">
        <v>1.9599</v>
      </c>
      <c r="AG89" s="26">
        <v>215</v>
      </c>
      <c r="AH89" t="str">
        <f t="shared" si="2"/>
        <v>U</v>
      </c>
      <c r="AI89" s="68"/>
      <c r="AJ89" s="71" t="str">
        <f t="shared" si="3"/>
        <v>2025-03-22-6호방-316LDS1-N33862</v>
      </c>
    </row>
    <row r="90" spans="1:36" x14ac:dyDescent="0.25">
      <c r="A90" s="4">
        <v>90</v>
      </c>
      <c r="B90" s="2" t="s">
        <v>81</v>
      </c>
      <c r="C90" s="2" t="s">
        <v>161</v>
      </c>
      <c r="D90" s="2">
        <v>1</v>
      </c>
      <c r="E90" s="2" t="s">
        <v>183</v>
      </c>
      <c r="F90" s="2" t="s">
        <v>41</v>
      </c>
      <c r="G90" s="2">
        <v>300</v>
      </c>
      <c r="H90" s="2" t="s">
        <v>81</v>
      </c>
      <c r="I90" s="2" t="s">
        <v>285</v>
      </c>
      <c r="J90" s="2" t="s">
        <v>81</v>
      </c>
      <c r="K90" s="2" t="s">
        <v>286</v>
      </c>
      <c r="L90" s="5" t="s">
        <v>310</v>
      </c>
      <c r="M90" s="4"/>
      <c r="N90" s="2"/>
      <c r="O90" s="5" t="s">
        <v>306</v>
      </c>
      <c r="P90" s="40"/>
      <c r="Q90" s="55"/>
      <c r="R90" s="44"/>
      <c r="S90" s="47"/>
      <c r="T90" s="55"/>
      <c r="U90" s="50"/>
      <c r="V90" s="40"/>
      <c r="W90" s="55"/>
      <c r="X90" s="44"/>
      <c r="Y90" s="47"/>
      <c r="Z90" s="55"/>
      <c r="AA90" s="50"/>
      <c r="AB90" s="40"/>
      <c r="AC90" s="55"/>
      <c r="AD90" s="44"/>
      <c r="AE90" s="47"/>
      <c r="AF90" s="52"/>
      <c r="AG90" s="44"/>
      <c r="AI90" s="68"/>
      <c r="AJ90" s="71" t="str">
        <f t="shared" si="3"/>
        <v>2025-03-22-6호방-316LDS1-N33862</v>
      </c>
    </row>
    <row r="91" spans="1:36" x14ac:dyDescent="0.25">
      <c r="A91" s="4">
        <v>91</v>
      </c>
      <c r="B91" s="2" t="s">
        <v>81</v>
      </c>
      <c r="C91" s="2" t="s">
        <v>162</v>
      </c>
      <c r="D91" s="2">
        <v>1</v>
      </c>
      <c r="E91" s="2" t="s">
        <v>183</v>
      </c>
      <c r="F91" s="2" t="s">
        <v>41</v>
      </c>
      <c r="G91" s="2">
        <v>300</v>
      </c>
      <c r="H91" s="2" t="s">
        <v>81</v>
      </c>
      <c r="I91" s="2" t="s">
        <v>286</v>
      </c>
      <c r="J91" s="2" t="s">
        <v>81</v>
      </c>
      <c r="K91" s="2" t="s">
        <v>287</v>
      </c>
      <c r="L91" s="5" t="s">
        <v>51</v>
      </c>
      <c r="M91" s="4"/>
      <c r="N91" s="2"/>
      <c r="O91" s="5" t="s">
        <v>306</v>
      </c>
      <c r="P91" s="25">
        <v>54.333599999999997</v>
      </c>
      <c r="Q91" s="53">
        <v>1.6176999999999999</v>
      </c>
      <c r="R91" s="26">
        <v>450</v>
      </c>
      <c r="S91" s="27">
        <v>74.930099999999996</v>
      </c>
      <c r="T91" s="53">
        <v>2.0273300000000001</v>
      </c>
      <c r="U91" s="28">
        <v>415</v>
      </c>
      <c r="V91" s="25">
        <v>130.28899999999999</v>
      </c>
      <c r="W91" s="53">
        <v>1.63182</v>
      </c>
      <c r="X91" s="26">
        <v>365</v>
      </c>
      <c r="Y91" s="27">
        <v>146.785</v>
      </c>
      <c r="Z91" s="53">
        <v>2.0131100000000002</v>
      </c>
      <c r="AA91" s="28">
        <v>315</v>
      </c>
      <c r="AB91" s="25">
        <v>173.53200000000001</v>
      </c>
      <c r="AC91" s="53">
        <v>1.5400799999999999</v>
      </c>
      <c r="AD91" s="26">
        <v>265</v>
      </c>
      <c r="AE91" s="27">
        <v>161.22999999999999</v>
      </c>
      <c r="AF91" s="36">
        <v>1.7479800000000001</v>
      </c>
      <c r="AG91" s="26">
        <v>215</v>
      </c>
      <c r="AH91" t="str">
        <f t="shared" si="2"/>
        <v>D</v>
      </c>
      <c r="AI91" s="68"/>
      <c r="AJ91" s="71" t="str">
        <f t="shared" si="3"/>
        <v>2025-03-22-6호방-316LDS1-N33862</v>
      </c>
    </row>
    <row r="92" spans="1:36" x14ac:dyDescent="0.25">
      <c r="A92" s="4">
        <v>92</v>
      </c>
      <c r="B92" s="2" t="s">
        <v>81</v>
      </c>
      <c r="C92" s="2" t="s">
        <v>163</v>
      </c>
      <c r="D92" s="2">
        <v>1</v>
      </c>
      <c r="E92" s="2" t="s">
        <v>183</v>
      </c>
      <c r="F92" s="2" t="s">
        <v>41</v>
      </c>
      <c r="G92" s="2">
        <v>300</v>
      </c>
      <c r="H92" s="2" t="s">
        <v>81</v>
      </c>
      <c r="I92" s="2" t="s">
        <v>287</v>
      </c>
      <c r="J92" s="2" t="s">
        <v>81</v>
      </c>
      <c r="K92" s="2" t="s">
        <v>288</v>
      </c>
      <c r="L92" s="5" t="s">
        <v>52</v>
      </c>
      <c r="M92" s="4"/>
      <c r="N92" s="2"/>
      <c r="O92" s="5" t="s">
        <v>306</v>
      </c>
      <c r="P92" s="25">
        <v>46.039099999999998</v>
      </c>
      <c r="Q92" s="53">
        <v>1.8281799999999999</v>
      </c>
      <c r="R92" s="26">
        <v>450</v>
      </c>
      <c r="S92" s="27">
        <v>71.668199999999999</v>
      </c>
      <c r="T92" s="53">
        <v>1.65486</v>
      </c>
      <c r="U92" s="28">
        <v>415</v>
      </c>
      <c r="V92" s="25">
        <v>123.858</v>
      </c>
      <c r="W92" s="53">
        <v>1.5047600000000001</v>
      </c>
      <c r="X92" s="26">
        <v>365</v>
      </c>
      <c r="Y92" s="27">
        <v>156.011</v>
      </c>
      <c r="Z92" s="53">
        <v>1.71587</v>
      </c>
      <c r="AA92" s="28">
        <v>315</v>
      </c>
      <c r="AB92" s="25">
        <v>180.80099999999999</v>
      </c>
      <c r="AC92" s="53">
        <v>1.44696</v>
      </c>
      <c r="AD92" s="26">
        <v>265</v>
      </c>
      <c r="AE92" s="27">
        <v>173.905</v>
      </c>
      <c r="AF92" s="36">
        <v>1.6259600000000001</v>
      </c>
      <c r="AG92" s="26">
        <v>215</v>
      </c>
      <c r="AH92" t="str">
        <f t="shared" si="2"/>
        <v>D</v>
      </c>
      <c r="AI92" s="68"/>
      <c r="AJ92" s="71" t="str">
        <f t="shared" si="3"/>
        <v>2025-03-22-6호방-316LDS1-N33862</v>
      </c>
    </row>
    <row r="93" spans="1:36" x14ac:dyDescent="0.25">
      <c r="A93" s="4">
        <v>93</v>
      </c>
      <c r="B93" s="2" t="s">
        <v>81</v>
      </c>
      <c r="C93" s="2" t="s">
        <v>164</v>
      </c>
      <c r="D93" s="2">
        <v>1</v>
      </c>
      <c r="E93" s="2" t="s">
        <v>183</v>
      </c>
      <c r="F93" s="2" t="s">
        <v>41</v>
      </c>
      <c r="G93" s="2">
        <v>300</v>
      </c>
      <c r="H93" s="2" t="s">
        <v>81</v>
      </c>
      <c r="I93" s="2" t="s">
        <v>288</v>
      </c>
      <c r="J93" s="2" t="s">
        <v>81</v>
      </c>
      <c r="K93" s="2" t="s">
        <v>289</v>
      </c>
      <c r="L93" s="5" t="s">
        <v>53</v>
      </c>
      <c r="M93" s="4"/>
      <c r="N93" s="2"/>
      <c r="O93" s="5" t="s">
        <v>306</v>
      </c>
      <c r="P93" s="25">
        <v>60.950600000000001</v>
      </c>
      <c r="Q93" s="53">
        <v>1.9391099999999999</v>
      </c>
      <c r="R93" s="26">
        <v>450</v>
      </c>
      <c r="S93" s="27">
        <v>62.721299999999999</v>
      </c>
      <c r="T93" s="53">
        <v>1.8089900000000001</v>
      </c>
      <c r="U93" s="28">
        <v>415</v>
      </c>
      <c r="V93" s="25">
        <v>113.607</v>
      </c>
      <c r="W93" s="53">
        <v>1.61714</v>
      </c>
      <c r="X93" s="26">
        <v>365</v>
      </c>
      <c r="Y93" s="27">
        <v>137.185</v>
      </c>
      <c r="Z93" s="53">
        <v>1.8057700000000001</v>
      </c>
      <c r="AA93" s="28">
        <v>315</v>
      </c>
      <c r="AB93" s="25">
        <v>157.596</v>
      </c>
      <c r="AC93" s="53">
        <v>1.4662299999999999</v>
      </c>
      <c r="AD93" s="26">
        <v>265</v>
      </c>
      <c r="AE93" s="27">
        <v>160.857</v>
      </c>
      <c r="AF93" s="36">
        <v>1.5920099999999999</v>
      </c>
      <c r="AG93" s="26">
        <v>215</v>
      </c>
      <c r="AH93" t="str">
        <f t="shared" si="2"/>
        <v>D</v>
      </c>
      <c r="AI93" s="68"/>
      <c r="AJ93" s="71" t="str">
        <f t="shared" si="3"/>
        <v>2025-03-22-6호방-316LDS1-N33862</v>
      </c>
    </row>
    <row r="94" spans="1:36" x14ac:dyDescent="0.25">
      <c r="A94" s="4">
        <v>94</v>
      </c>
      <c r="B94" s="2" t="s">
        <v>81</v>
      </c>
      <c r="C94" s="2" t="s">
        <v>165</v>
      </c>
      <c r="D94" s="2">
        <v>1</v>
      </c>
      <c r="E94" s="2" t="s">
        <v>183</v>
      </c>
      <c r="F94" s="2" t="s">
        <v>41</v>
      </c>
      <c r="G94" s="2">
        <v>300</v>
      </c>
      <c r="H94" s="2" t="s">
        <v>81</v>
      </c>
      <c r="I94" s="2" t="s">
        <v>289</v>
      </c>
      <c r="J94" s="2" t="s">
        <v>81</v>
      </c>
      <c r="K94" s="2" t="s">
        <v>290</v>
      </c>
      <c r="L94" s="5" t="s">
        <v>54</v>
      </c>
      <c r="M94" s="4"/>
      <c r="N94" s="2"/>
      <c r="O94" s="5" t="s">
        <v>306</v>
      </c>
      <c r="P94" s="25">
        <v>82.944999999999993</v>
      </c>
      <c r="Q94" s="53">
        <v>0.434336</v>
      </c>
      <c r="R94" s="26">
        <v>450</v>
      </c>
      <c r="S94" s="27">
        <v>45.759599999999999</v>
      </c>
      <c r="T94" s="53">
        <v>1.7140299999999999</v>
      </c>
      <c r="U94" s="28">
        <v>415</v>
      </c>
      <c r="V94" s="25">
        <v>41.752099999999999</v>
      </c>
      <c r="W94" s="53">
        <v>1.5240199999999999</v>
      </c>
      <c r="X94" s="26">
        <v>365</v>
      </c>
      <c r="Y94" s="27">
        <v>139.88800000000001</v>
      </c>
      <c r="Z94" s="53">
        <v>1.6305499999999999</v>
      </c>
      <c r="AA94" s="28">
        <v>315</v>
      </c>
      <c r="AB94" s="25">
        <v>181.64</v>
      </c>
      <c r="AC94" s="53">
        <v>1.38412</v>
      </c>
      <c r="AD94" s="26">
        <v>265</v>
      </c>
      <c r="AE94" s="27">
        <v>209.97200000000001</v>
      </c>
      <c r="AF94" s="36">
        <v>1.38009</v>
      </c>
      <c r="AG94" s="26">
        <v>215</v>
      </c>
      <c r="AH94" t="str">
        <f t="shared" si="2"/>
        <v>D</v>
      </c>
      <c r="AI94" s="68"/>
      <c r="AJ94" s="71" t="str">
        <f t="shared" si="3"/>
        <v>2025-03-22-6호방-316LDS1-N33862</v>
      </c>
    </row>
    <row r="95" spans="1:36" x14ac:dyDescent="0.2">
      <c r="A95" s="4">
        <v>95</v>
      </c>
      <c r="B95" s="2" t="s">
        <v>82</v>
      </c>
      <c r="C95" s="2" t="s">
        <v>166</v>
      </c>
      <c r="D95" s="2">
        <v>1</v>
      </c>
      <c r="E95" s="2" t="s">
        <v>185</v>
      </c>
      <c r="F95" s="2" t="s">
        <v>41</v>
      </c>
      <c r="G95" s="2">
        <v>290</v>
      </c>
      <c r="H95" s="2" t="s">
        <v>82</v>
      </c>
      <c r="I95" s="2" t="s">
        <v>291</v>
      </c>
      <c r="J95" s="2" t="s">
        <v>82</v>
      </c>
      <c r="K95" s="2" t="s">
        <v>292</v>
      </c>
      <c r="L95" s="57" t="s">
        <v>11</v>
      </c>
      <c r="M95" s="4"/>
      <c r="N95" s="2"/>
      <c r="O95" s="5" t="s">
        <v>305</v>
      </c>
      <c r="P95" s="25">
        <v>45.107199999999999</v>
      </c>
      <c r="Q95" s="53">
        <v>1.0166900000000001</v>
      </c>
      <c r="R95" s="26">
        <v>435</v>
      </c>
      <c r="S95" s="27">
        <v>153.96100000000001</v>
      </c>
      <c r="T95" s="53">
        <v>1.78972</v>
      </c>
      <c r="U95" s="28">
        <v>390</v>
      </c>
      <c r="V95" s="25">
        <v>176.23500000000001</v>
      </c>
      <c r="W95" s="53">
        <v>1.2556799999999999</v>
      </c>
      <c r="X95" s="26">
        <v>330</v>
      </c>
      <c r="Y95" s="27">
        <v>202.982</v>
      </c>
      <c r="Z95" s="53">
        <v>1.5103599999999999</v>
      </c>
      <c r="AA95" s="28">
        <v>270</v>
      </c>
      <c r="AB95" s="25">
        <v>179.77600000000001</v>
      </c>
      <c r="AC95" s="53">
        <v>0.57299999999999995</v>
      </c>
      <c r="AD95" s="26">
        <v>205</v>
      </c>
      <c r="AE95" s="27">
        <v>162.459</v>
      </c>
      <c r="AF95" s="36">
        <v>1.8106800000000001</v>
      </c>
      <c r="AG95" s="26">
        <v>200</v>
      </c>
      <c r="AH95" t="str">
        <f t="shared" si="2"/>
        <v>U</v>
      </c>
      <c r="AI95" s="65" t="s">
        <v>323</v>
      </c>
      <c r="AJ95" s="61" t="str">
        <f t="shared" si="3"/>
        <v>2025-05-05-5호방-316LDS1-N33842</v>
      </c>
    </row>
    <row r="96" spans="1:36" x14ac:dyDescent="0.4">
      <c r="A96" s="4">
        <v>96</v>
      </c>
      <c r="B96" s="2" t="s">
        <v>82</v>
      </c>
      <c r="C96" s="2" t="s">
        <v>167</v>
      </c>
      <c r="D96" s="2">
        <v>1</v>
      </c>
      <c r="E96" s="2" t="s">
        <v>185</v>
      </c>
      <c r="F96" s="2" t="s">
        <v>41</v>
      </c>
      <c r="G96" s="2">
        <v>290</v>
      </c>
      <c r="H96" s="2" t="s">
        <v>82</v>
      </c>
      <c r="I96" s="2" t="s">
        <v>293</v>
      </c>
      <c r="J96" s="2" t="s">
        <v>82</v>
      </c>
      <c r="K96" s="2" t="s">
        <v>294</v>
      </c>
      <c r="L96" s="57" t="s">
        <v>313</v>
      </c>
      <c r="M96" s="4"/>
      <c r="N96" s="2"/>
      <c r="O96" s="5" t="s">
        <v>305</v>
      </c>
      <c r="P96" s="25">
        <v>52.096899999999998</v>
      </c>
      <c r="Q96" s="53">
        <v>1.4348399999999999</v>
      </c>
      <c r="R96" s="26">
        <v>435</v>
      </c>
      <c r="S96" s="27">
        <v>175.58199999999999</v>
      </c>
      <c r="T96" s="53">
        <v>1.7929299999999999</v>
      </c>
      <c r="U96" s="28">
        <v>380</v>
      </c>
      <c r="V96" s="25">
        <v>139.143</v>
      </c>
      <c r="W96" s="53">
        <v>1.27999</v>
      </c>
      <c r="X96" s="26">
        <v>335</v>
      </c>
      <c r="Y96" s="27">
        <v>163.001</v>
      </c>
      <c r="Z96" s="53">
        <v>1.57</v>
      </c>
      <c r="AA96" s="28">
        <v>290</v>
      </c>
      <c r="AB96" s="25">
        <v>151.351</v>
      </c>
      <c r="AC96" s="53">
        <v>1.2697099999999999</v>
      </c>
      <c r="AD96" s="26">
        <v>245</v>
      </c>
      <c r="AE96" s="27">
        <v>161.78899999999999</v>
      </c>
      <c r="AF96" s="36">
        <v>1.81403</v>
      </c>
      <c r="AG96" s="26">
        <v>200</v>
      </c>
      <c r="AH96" t="str">
        <f t="shared" si="2"/>
        <v>U</v>
      </c>
      <c r="AI96" s="66"/>
      <c r="AJ96" s="61" t="str">
        <f t="shared" si="3"/>
        <v>2025-05-05-5호방-316LDS1-N33842</v>
      </c>
    </row>
    <row r="97" spans="1:36" x14ac:dyDescent="0.4">
      <c r="A97" s="4">
        <v>97</v>
      </c>
      <c r="B97" s="2" t="s">
        <v>82</v>
      </c>
      <c r="C97" s="2" t="s">
        <v>168</v>
      </c>
      <c r="D97" s="2">
        <v>1</v>
      </c>
      <c r="E97" s="2" t="s">
        <v>185</v>
      </c>
      <c r="F97" s="2" t="s">
        <v>41</v>
      </c>
      <c r="G97" s="2">
        <v>290</v>
      </c>
      <c r="H97" s="2" t="s">
        <v>82</v>
      </c>
      <c r="I97" s="2" t="s">
        <v>294</v>
      </c>
      <c r="J97" s="2" t="s">
        <v>82</v>
      </c>
      <c r="K97" s="2" t="s">
        <v>295</v>
      </c>
      <c r="L97" s="57" t="s">
        <v>314</v>
      </c>
      <c r="M97" s="4"/>
      <c r="N97" s="2"/>
      <c r="O97" s="5" t="s">
        <v>305</v>
      </c>
      <c r="P97" s="25">
        <v>55.172400000000003</v>
      </c>
      <c r="Q97" s="53">
        <v>1.8277300000000001</v>
      </c>
      <c r="R97" s="26">
        <v>435</v>
      </c>
      <c r="S97" s="27">
        <v>176.79400000000001</v>
      </c>
      <c r="T97" s="53">
        <v>1.81541</v>
      </c>
      <c r="U97" s="28">
        <v>380</v>
      </c>
      <c r="V97" s="25">
        <v>150.13999999999999</v>
      </c>
      <c r="W97" s="53">
        <v>1.2171400000000001</v>
      </c>
      <c r="X97" s="26">
        <v>335</v>
      </c>
      <c r="Y97" s="27">
        <v>161.137</v>
      </c>
      <c r="Z97" s="53">
        <v>1.73055</v>
      </c>
      <c r="AA97" s="28">
        <v>290</v>
      </c>
      <c r="AB97" s="25">
        <v>159.273</v>
      </c>
      <c r="AC97" s="53">
        <v>1.60246</v>
      </c>
      <c r="AD97" s="26">
        <v>245</v>
      </c>
      <c r="AE97" s="27">
        <v>163.65299999999999</v>
      </c>
      <c r="AF97" s="36">
        <v>1.8122</v>
      </c>
      <c r="AG97" s="26">
        <v>200</v>
      </c>
      <c r="AH97" t="str">
        <f t="shared" si="2"/>
        <v>U</v>
      </c>
      <c r="AI97" s="66"/>
      <c r="AJ97" s="61" t="str">
        <f t="shared" si="3"/>
        <v>2025-05-05-5호방-316LDS1-N33842</v>
      </c>
    </row>
    <row r="98" spans="1:36" x14ac:dyDescent="0.4">
      <c r="A98" s="4">
        <v>98</v>
      </c>
      <c r="B98" s="2" t="s">
        <v>82</v>
      </c>
      <c r="C98" s="2" t="s">
        <v>169</v>
      </c>
      <c r="D98" s="2">
        <v>1</v>
      </c>
      <c r="E98" s="2" t="s">
        <v>185</v>
      </c>
      <c r="F98" s="2" t="s">
        <v>41</v>
      </c>
      <c r="G98" s="2">
        <v>290</v>
      </c>
      <c r="H98" s="2" t="s">
        <v>82</v>
      </c>
      <c r="I98" s="2" t="s">
        <v>295</v>
      </c>
      <c r="J98" s="2" t="s">
        <v>82</v>
      </c>
      <c r="K98" s="2" t="s">
        <v>208</v>
      </c>
      <c r="L98" s="57" t="s">
        <v>315</v>
      </c>
      <c r="M98" s="4"/>
      <c r="N98" s="2"/>
      <c r="O98" s="5" t="s">
        <v>305</v>
      </c>
      <c r="P98" s="25">
        <v>52.096899999999998</v>
      </c>
      <c r="Q98" s="53">
        <v>0.94604500000000002</v>
      </c>
      <c r="R98" s="26">
        <v>435</v>
      </c>
      <c r="S98" s="27">
        <v>208.947</v>
      </c>
      <c r="T98" s="53">
        <v>1.8186199999999999</v>
      </c>
      <c r="U98" s="28">
        <v>380</v>
      </c>
      <c r="V98" s="25">
        <v>153.96100000000001</v>
      </c>
      <c r="W98" s="53">
        <v>1.0951299999999999</v>
      </c>
      <c r="X98" s="26">
        <v>335</v>
      </c>
      <c r="Y98" s="27">
        <v>165.05099999999999</v>
      </c>
      <c r="Z98" s="53">
        <v>1.5984400000000001</v>
      </c>
      <c r="AA98" s="28">
        <v>290</v>
      </c>
      <c r="AB98" s="25">
        <v>171.94800000000001</v>
      </c>
      <c r="AC98" s="53">
        <v>1.3299099999999999</v>
      </c>
      <c r="AD98" s="26">
        <v>245</v>
      </c>
      <c r="AE98" s="27">
        <v>166.542</v>
      </c>
      <c r="AF98" s="36">
        <v>1.8039400000000001</v>
      </c>
      <c r="AG98" s="26">
        <v>200</v>
      </c>
      <c r="AH98" t="str">
        <f t="shared" si="2"/>
        <v>U</v>
      </c>
      <c r="AI98" s="66"/>
      <c r="AJ98" s="61" t="str">
        <f t="shared" si="3"/>
        <v>2025-05-05-5호방-316LDS1-N33842</v>
      </c>
    </row>
    <row r="99" spans="1:36" x14ac:dyDescent="0.4">
      <c r="A99" s="4">
        <v>99</v>
      </c>
      <c r="B99" s="2" t="s">
        <v>82</v>
      </c>
      <c r="C99" s="2" t="s">
        <v>170</v>
      </c>
      <c r="D99" s="2">
        <v>1</v>
      </c>
      <c r="E99" s="2" t="s">
        <v>179</v>
      </c>
      <c r="F99" s="2" t="s">
        <v>41</v>
      </c>
      <c r="G99" s="2">
        <v>290</v>
      </c>
      <c r="H99" s="2" t="s">
        <v>82</v>
      </c>
      <c r="I99" s="2" t="s">
        <v>208</v>
      </c>
      <c r="J99" s="2" t="s">
        <v>82</v>
      </c>
      <c r="K99" s="2" t="s">
        <v>296</v>
      </c>
      <c r="L99" s="57" t="s">
        <v>316</v>
      </c>
      <c r="M99" s="4"/>
      <c r="N99" s="2"/>
      <c r="O99" s="5" t="s">
        <v>305</v>
      </c>
      <c r="P99" s="25">
        <v>45.386800000000001</v>
      </c>
      <c r="Q99" s="53">
        <v>1.23691</v>
      </c>
      <c r="R99" s="26">
        <v>435</v>
      </c>
      <c r="S99" s="27">
        <v>180.988</v>
      </c>
      <c r="T99" s="53">
        <v>1.8589899999999999</v>
      </c>
      <c r="U99" s="28">
        <v>380</v>
      </c>
      <c r="V99" s="25">
        <v>140.35400000000001</v>
      </c>
      <c r="W99" s="53">
        <v>1.22081</v>
      </c>
      <c r="X99" s="26">
        <v>335</v>
      </c>
      <c r="Y99" s="27">
        <v>160.95099999999999</v>
      </c>
      <c r="Z99" s="53">
        <v>1.7319199999999999</v>
      </c>
      <c r="AA99" s="28">
        <v>290</v>
      </c>
      <c r="AB99" s="25">
        <v>155.63800000000001</v>
      </c>
      <c r="AC99" s="53">
        <v>1.49834</v>
      </c>
      <c r="AD99" s="26">
        <v>245</v>
      </c>
      <c r="AE99" s="27">
        <v>158.155</v>
      </c>
      <c r="AF99" s="36">
        <v>1.8167800000000001</v>
      </c>
      <c r="AG99" s="26">
        <v>200</v>
      </c>
      <c r="AH99" t="str">
        <f t="shared" si="2"/>
        <v>U</v>
      </c>
      <c r="AI99" s="66"/>
      <c r="AJ99" s="61" t="str">
        <f t="shared" si="3"/>
        <v>2025-05-05-5호방-316LDS1-N33522</v>
      </c>
    </row>
    <row r="100" spans="1:36" x14ac:dyDescent="0.4">
      <c r="A100" s="4">
        <v>100</v>
      </c>
      <c r="B100" s="2" t="s">
        <v>82</v>
      </c>
      <c r="C100" s="2" t="s">
        <v>171</v>
      </c>
      <c r="D100" s="2">
        <v>1</v>
      </c>
      <c r="E100" s="2" t="s">
        <v>179</v>
      </c>
      <c r="F100" s="2" t="s">
        <v>41</v>
      </c>
      <c r="G100" s="2">
        <v>290</v>
      </c>
      <c r="H100" s="2" t="s">
        <v>82</v>
      </c>
      <c r="I100" s="2" t="s">
        <v>297</v>
      </c>
      <c r="J100" s="2" t="s">
        <v>82</v>
      </c>
      <c r="K100" s="2" t="s">
        <v>298</v>
      </c>
      <c r="L100" s="57" t="s">
        <v>50</v>
      </c>
      <c r="M100" s="4"/>
      <c r="N100" s="2"/>
      <c r="O100" s="5" t="s">
        <v>305</v>
      </c>
      <c r="P100" s="25">
        <v>45.107199999999999</v>
      </c>
      <c r="Q100" s="53">
        <v>0.78891199999999995</v>
      </c>
      <c r="R100" s="26">
        <v>435</v>
      </c>
      <c r="S100" s="27">
        <v>176.70099999999999</v>
      </c>
      <c r="T100" s="53">
        <v>1.87321</v>
      </c>
      <c r="U100" s="28">
        <v>380</v>
      </c>
      <c r="V100" s="25">
        <v>136.34700000000001</v>
      </c>
      <c r="W100" s="53">
        <v>1.28779</v>
      </c>
      <c r="X100" s="26">
        <v>335</v>
      </c>
      <c r="Y100" s="27">
        <v>158.99299999999999</v>
      </c>
      <c r="Z100" s="53">
        <v>1.70302</v>
      </c>
      <c r="AA100" s="28">
        <v>290</v>
      </c>
      <c r="AB100" s="25">
        <v>156.291</v>
      </c>
      <c r="AC100" s="53">
        <v>1.3638999999999999</v>
      </c>
      <c r="AD100" s="26">
        <v>245</v>
      </c>
      <c r="AE100" s="27">
        <v>156.10400000000001</v>
      </c>
      <c r="AF100" s="36">
        <v>1.91954</v>
      </c>
      <c r="AG100" s="26">
        <v>200</v>
      </c>
      <c r="AH100" t="str">
        <f t="shared" si="2"/>
        <v>D</v>
      </c>
      <c r="AI100" s="66"/>
      <c r="AJ100" s="61" t="str">
        <f t="shared" si="3"/>
        <v>2025-05-05-5호방-316LDS1-N33522</v>
      </c>
    </row>
    <row r="101" spans="1:36" x14ac:dyDescent="0.4">
      <c r="A101" s="4">
        <v>101</v>
      </c>
      <c r="B101" s="2" t="s">
        <v>82</v>
      </c>
      <c r="C101" s="2" t="s">
        <v>172</v>
      </c>
      <c r="D101" s="2">
        <v>1</v>
      </c>
      <c r="E101" s="2" t="s">
        <v>186</v>
      </c>
      <c r="F101" s="2" t="s">
        <v>41</v>
      </c>
      <c r="G101" s="2">
        <v>290</v>
      </c>
      <c r="H101" s="2" t="s">
        <v>82</v>
      </c>
      <c r="I101" s="2" t="s">
        <v>298</v>
      </c>
      <c r="J101" s="2" t="s">
        <v>82</v>
      </c>
      <c r="K101" s="2" t="s">
        <v>299</v>
      </c>
      <c r="L101" s="57" t="s">
        <v>317</v>
      </c>
      <c r="M101" s="4"/>
      <c r="N101" s="2"/>
      <c r="O101" s="5" t="s">
        <v>305</v>
      </c>
      <c r="P101" s="25">
        <v>52.749299999999998</v>
      </c>
      <c r="Q101" s="53">
        <v>1.6720699999999999</v>
      </c>
      <c r="R101" s="26">
        <v>435</v>
      </c>
      <c r="S101" s="27">
        <v>176.048</v>
      </c>
      <c r="T101" s="53">
        <v>1.8039400000000001</v>
      </c>
      <c r="U101" s="28">
        <v>380</v>
      </c>
      <c r="V101" s="25">
        <v>144.828</v>
      </c>
      <c r="W101" s="53">
        <v>1.3364100000000001</v>
      </c>
      <c r="X101" s="26">
        <v>335</v>
      </c>
      <c r="Y101" s="27">
        <v>167.84700000000001</v>
      </c>
      <c r="Z101" s="53">
        <v>1.7222900000000001</v>
      </c>
      <c r="AA101" s="28">
        <v>290</v>
      </c>
      <c r="AB101" s="25">
        <v>166.17</v>
      </c>
      <c r="AC101" s="53">
        <v>1.45017</v>
      </c>
      <c r="AD101" s="26">
        <v>245</v>
      </c>
      <c r="AE101" s="27">
        <v>161.51</v>
      </c>
      <c r="AF101" s="36">
        <v>1.8296300000000001</v>
      </c>
      <c r="AG101" s="26">
        <v>200</v>
      </c>
      <c r="AH101" t="str">
        <f t="shared" si="2"/>
        <v>D</v>
      </c>
      <c r="AI101" s="66"/>
      <c r="AJ101" s="61" t="str">
        <f t="shared" si="3"/>
        <v>2025-05-05-5호방-316LDS1-N34126</v>
      </c>
    </row>
    <row r="102" spans="1:36" x14ac:dyDescent="0.4">
      <c r="A102" s="4">
        <v>102</v>
      </c>
      <c r="B102" s="2" t="s">
        <v>82</v>
      </c>
      <c r="C102" s="2" t="s">
        <v>173</v>
      </c>
      <c r="D102" s="2">
        <v>1</v>
      </c>
      <c r="E102" s="2" t="s">
        <v>184</v>
      </c>
      <c r="F102" s="2" t="s">
        <v>248</v>
      </c>
      <c r="G102" s="2">
        <v>290</v>
      </c>
      <c r="H102" s="2" t="s">
        <v>82</v>
      </c>
      <c r="I102" s="2" t="s">
        <v>299</v>
      </c>
      <c r="J102" s="2" t="s">
        <v>82</v>
      </c>
      <c r="K102" s="2" t="s">
        <v>300</v>
      </c>
      <c r="L102" s="57" t="s">
        <v>318</v>
      </c>
      <c r="M102" s="4"/>
      <c r="N102" s="2"/>
      <c r="O102" s="5" t="s">
        <v>305</v>
      </c>
      <c r="P102" s="25">
        <v>45.759599999999999</v>
      </c>
      <c r="Q102" s="53">
        <v>0.68795700000000004</v>
      </c>
      <c r="R102" s="26">
        <v>435</v>
      </c>
      <c r="S102" s="27">
        <v>167.56800000000001</v>
      </c>
      <c r="T102" s="53">
        <v>2.00027</v>
      </c>
      <c r="U102" s="28">
        <v>380</v>
      </c>
      <c r="V102" s="25">
        <v>132.898</v>
      </c>
      <c r="W102" s="53">
        <v>1.2882100000000001</v>
      </c>
      <c r="X102" s="26">
        <v>335</v>
      </c>
      <c r="Y102" s="27">
        <v>156.85</v>
      </c>
      <c r="Z102" s="53">
        <v>1.9810000000000001</v>
      </c>
      <c r="AA102" s="28">
        <v>290</v>
      </c>
      <c r="AB102" s="25">
        <v>145.29400000000001</v>
      </c>
      <c r="AC102" s="53">
        <v>1.4619899999999999</v>
      </c>
      <c r="AD102" s="26">
        <v>245</v>
      </c>
      <c r="AE102" s="27">
        <v>155.732</v>
      </c>
      <c r="AF102" s="36">
        <v>2.0195400000000001</v>
      </c>
      <c r="AG102" s="26">
        <v>200</v>
      </c>
      <c r="AH102" t="str">
        <f t="shared" si="2"/>
        <v>D</v>
      </c>
      <c r="AI102" s="66"/>
      <c r="AJ102" s="61" t="str">
        <f t="shared" si="3"/>
        <v>2025-05-05-5호방-STS304S1-N33897</v>
      </c>
    </row>
    <row r="103" spans="1:36" x14ac:dyDescent="0.4">
      <c r="A103" s="4">
        <v>103</v>
      </c>
      <c r="B103" s="2" t="s">
        <v>82</v>
      </c>
      <c r="C103" s="2" t="s">
        <v>174</v>
      </c>
      <c r="D103" s="2">
        <v>1</v>
      </c>
      <c r="E103" s="2" t="s">
        <v>178</v>
      </c>
      <c r="F103" s="2" t="s">
        <v>40</v>
      </c>
      <c r="G103" s="2">
        <v>290</v>
      </c>
      <c r="H103" s="2" t="s">
        <v>82</v>
      </c>
      <c r="I103" s="2" t="s">
        <v>300</v>
      </c>
      <c r="J103" s="2" t="s">
        <v>82</v>
      </c>
      <c r="K103" s="2" t="s">
        <v>301</v>
      </c>
      <c r="L103" s="57" t="s">
        <v>320</v>
      </c>
      <c r="M103" s="4"/>
      <c r="N103" s="2"/>
      <c r="O103" s="5" t="s">
        <v>305</v>
      </c>
      <c r="P103" s="25">
        <v>46.3187</v>
      </c>
      <c r="Q103" s="53">
        <v>1.1052200000000001</v>
      </c>
      <c r="R103" s="26">
        <v>435</v>
      </c>
      <c r="S103" s="27">
        <v>167.381</v>
      </c>
      <c r="T103" s="53">
        <v>1.83605</v>
      </c>
      <c r="U103" s="28">
        <v>380</v>
      </c>
      <c r="V103" s="25">
        <v>128.798</v>
      </c>
      <c r="W103" s="53">
        <v>1.4052199999999999</v>
      </c>
      <c r="X103" s="26">
        <v>335</v>
      </c>
      <c r="Y103" s="27">
        <v>151.25800000000001</v>
      </c>
      <c r="Z103" s="53">
        <v>1.8846700000000001</v>
      </c>
      <c r="AA103" s="28">
        <v>290</v>
      </c>
      <c r="AB103" s="25">
        <v>136.34700000000001</v>
      </c>
      <c r="AC103" s="53">
        <v>1.6832</v>
      </c>
      <c r="AD103" s="26">
        <v>245</v>
      </c>
      <c r="AE103" s="27">
        <v>139.79499999999999</v>
      </c>
      <c r="AF103" s="36">
        <v>1.9181600000000001</v>
      </c>
      <c r="AG103" s="26">
        <v>200</v>
      </c>
      <c r="AH103" t="str">
        <f t="shared" si="2"/>
        <v>D</v>
      </c>
      <c r="AI103" s="66"/>
      <c r="AJ103" s="61" t="str">
        <f t="shared" si="3"/>
        <v>2025-05-05-5호방-304LDS1-N33502</v>
      </c>
    </row>
    <row r="104" spans="1:36" x14ac:dyDescent="0.4">
      <c r="A104" s="4">
        <v>104</v>
      </c>
      <c r="B104" s="2" t="s">
        <v>82</v>
      </c>
      <c r="C104" s="2" t="s">
        <v>175</v>
      </c>
      <c r="D104" s="2">
        <v>1</v>
      </c>
      <c r="E104" s="2" t="s">
        <v>17</v>
      </c>
      <c r="F104" s="2" t="s">
        <v>40</v>
      </c>
      <c r="G104" s="2">
        <v>290</v>
      </c>
      <c r="H104" s="2" t="s">
        <v>82</v>
      </c>
      <c r="I104" s="2" t="s">
        <v>302</v>
      </c>
      <c r="J104" s="2" t="s">
        <v>82</v>
      </c>
      <c r="K104" s="2" t="s">
        <v>303</v>
      </c>
      <c r="L104" s="57" t="s">
        <v>319</v>
      </c>
      <c r="M104" s="4"/>
      <c r="N104" s="2"/>
      <c r="O104" s="5" t="s">
        <v>305</v>
      </c>
      <c r="P104" s="25">
        <v>50.046599999999998</v>
      </c>
      <c r="Q104" s="53">
        <v>1.5775399999999999</v>
      </c>
      <c r="R104" s="26">
        <v>435</v>
      </c>
      <c r="S104" s="27">
        <v>161.88300000000001</v>
      </c>
      <c r="T104" s="53">
        <v>2.0177</v>
      </c>
      <c r="U104" s="28">
        <v>380</v>
      </c>
      <c r="V104" s="25">
        <v>125.90900000000001</v>
      </c>
      <c r="W104" s="53">
        <v>1.53366</v>
      </c>
      <c r="X104" s="26">
        <v>335</v>
      </c>
      <c r="Y104" s="27">
        <v>146.505</v>
      </c>
      <c r="Z104" s="53">
        <v>1.92458</v>
      </c>
      <c r="AA104" s="28">
        <v>290</v>
      </c>
      <c r="AB104" s="25">
        <v>138.304</v>
      </c>
      <c r="AC104" s="53">
        <v>1.3917299999999999</v>
      </c>
      <c r="AD104" s="26">
        <v>245</v>
      </c>
      <c r="AE104" s="27">
        <v>146.13200000000001</v>
      </c>
      <c r="AF104" s="36">
        <v>2.0195400000000001</v>
      </c>
      <c r="AG104" s="26">
        <v>200</v>
      </c>
      <c r="AH104" t="str">
        <f t="shared" si="2"/>
        <v>D</v>
      </c>
      <c r="AI104" s="66"/>
      <c r="AJ104" s="61" t="str">
        <f t="shared" si="3"/>
        <v>2025-05-05-5호방-304LDS1-N33305</v>
      </c>
    </row>
    <row r="105" spans="1:36" x14ac:dyDescent="0.4">
      <c r="A105" s="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5"/>
      <c r="M105" s="4"/>
      <c r="N105" s="2"/>
      <c r="O105" s="5"/>
      <c r="P105" s="25"/>
      <c r="Q105" s="2"/>
      <c r="R105" s="26"/>
      <c r="S105" s="27"/>
      <c r="T105" s="2"/>
      <c r="U105" s="28"/>
      <c r="V105" s="25"/>
      <c r="W105" s="2"/>
      <c r="X105" s="26"/>
      <c r="Y105" s="27"/>
      <c r="Z105" s="2"/>
      <c r="AA105" s="28"/>
      <c r="AB105" s="25"/>
      <c r="AC105" s="2"/>
      <c r="AD105" s="26"/>
      <c r="AE105" s="27"/>
      <c r="AF105" s="2"/>
      <c r="AG105" s="26"/>
      <c r="AI105" s="61"/>
    </row>
    <row r="106" spans="1:36" x14ac:dyDescent="0.4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5"/>
      <c r="M106" s="4"/>
      <c r="N106" s="2"/>
      <c r="O106" s="5"/>
      <c r="P106" s="25"/>
      <c r="Q106" s="2"/>
      <c r="R106" s="26"/>
      <c r="S106" s="27"/>
      <c r="T106" s="2"/>
      <c r="U106" s="28"/>
      <c r="V106" s="25"/>
      <c r="W106" s="2"/>
      <c r="X106" s="26"/>
      <c r="Y106" s="27"/>
      <c r="Z106" s="2"/>
      <c r="AA106" s="28"/>
      <c r="AB106" s="25"/>
      <c r="AC106" s="2"/>
      <c r="AD106" s="26"/>
      <c r="AE106" s="27"/>
      <c r="AF106" s="2"/>
      <c r="AG106" s="26"/>
    </row>
    <row r="107" spans="1:36" x14ac:dyDescent="0.4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5"/>
      <c r="M107" s="4"/>
      <c r="N107" s="2"/>
      <c r="O107" s="5"/>
      <c r="P107" s="25"/>
      <c r="Q107" s="2"/>
      <c r="R107" s="26"/>
      <c r="S107" s="27"/>
      <c r="T107" s="2"/>
      <c r="U107" s="28"/>
      <c r="V107" s="25"/>
      <c r="W107" s="2"/>
      <c r="X107" s="26"/>
      <c r="Y107" s="27"/>
      <c r="Z107" s="2"/>
      <c r="AA107" s="28"/>
      <c r="AB107" s="25"/>
      <c r="AC107" s="2"/>
      <c r="AD107" s="26"/>
      <c r="AE107" s="27"/>
      <c r="AF107" s="2"/>
      <c r="AG107" s="26"/>
    </row>
    <row r="108" spans="1:36" x14ac:dyDescent="0.4">
      <c r="A108" s="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5"/>
      <c r="M108" s="4"/>
      <c r="N108" s="2"/>
      <c r="O108" s="5"/>
      <c r="P108" s="25"/>
      <c r="Q108" s="2"/>
      <c r="R108" s="26"/>
      <c r="S108" s="27"/>
      <c r="T108" s="2"/>
      <c r="U108" s="28"/>
      <c r="V108" s="25"/>
      <c r="W108" s="2"/>
      <c r="X108" s="26"/>
      <c r="Y108" s="27"/>
      <c r="Z108" s="2"/>
      <c r="AA108" s="28"/>
      <c r="AB108" s="25"/>
      <c r="AC108" s="2"/>
      <c r="AD108" s="26"/>
      <c r="AE108" s="27"/>
      <c r="AF108" s="2"/>
      <c r="AG108" s="26"/>
    </row>
    <row r="109" spans="1:36" x14ac:dyDescent="0.4">
      <c r="A109" s="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5"/>
      <c r="M109" s="4"/>
      <c r="N109" s="2"/>
      <c r="O109" s="5"/>
      <c r="P109" s="25"/>
      <c r="Q109" s="2"/>
      <c r="R109" s="26"/>
      <c r="S109" s="27"/>
      <c r="T109" s="2"/>
      <c r="U109" s="28"/>
      <c r="V109" s="25"/>
      <c r="W109" s="2"/>
      <c r="X109" s="26"/>
      <c r="Y109" s="27"/>
      <c r="Z109" s="2"/>
      <c r="AA109" s="28"/>
      <c r="AB109" s="25"/>
      <c r="AC109" s="2"/>
      <c r="AD109" s="26"/>
      <c r="AE109" s="27"/>
      <c r="AF109" s="2"/>
      <c r="AG109" s="26"/>
    </row>
    <row r="110" spans="1:36" x14ac:dyDescent="0.4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5"/>
      <c r="M110" s="4"/>
      <c r="N110" s="2"/>
      <c r="O110" s="5"/>
      <c r="P110" s="25"/>
      <c r="Q110" s="2"/>
      <c r="R110" s="26"/>
      <c r="S110" s="27"/>
      <c r="T110" s="2"/>
      <c r="U110" s="28"/>
      <c r="V110" s="25"/>
      <c r="W110" s="2"/>
      <c r="X110" s="26"/>
      <c r="Y110" s="27"/>
      <c r="Z110" s="2"/>
      <c r="AA110" s="28"/>
      <c r="AB110" s="25"/>
      <c r="AC110" s="2"/>
      <c r="AD110" s="26"/>
      <c r="AE110" s="27"/>
      <c r="AF110" s="2"/>
      <c r="AG110" s="26"/>
    </row>
    <row r="111" spans="1:36" x14ac:dyDescent="0.4">
      <c r="A111" s="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5"/>
      <c r="M111" s="4"/>
      <c r="N111" s="2"/>
      <c r="O111" s="5"/>
      <c r="P111" s="25"/>
      <c r="Q111" s="2"/>
      <c r="R111" s="26"/>
      <c r="S111" s="27"/>
      <c r="T111" s="2"/>
      <c r="U111" s="28"/>
      <c r="V111" s="25"/>
      <c r="W111" s="2"/>
      <c r="X111" s="26"/>
      <c r="Y111" s="27"/>
      <c r="Z111" s="2"/>
      <c r="AA111" s="28"/>
      <c r="AB111" s="25"/>
      <c r="AC111" s="2"/>
      <c r="AD111" s="26"/>
      <c r="AE111" s="27"/>
      <c r="AF111" s="2"/>
      <c r="AG111" s="26"/>
    </row>
    <row r="112" spans="1:36" x14ac:dyDescent="0.4">
      <c r="A112" s="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5"/>
      <c r="M112" s="4"/>
      <c r="N112" s="2"/>
      <c r="O112" s="5"/>
      <c r="P112" s="25"/>
      <c r="Q112" s="2"/>
      <c r="R112" s="26"/>
      <c r="S112" s="27"/>
      <c r="T112" s="2"/>
      <c r="U112" s="28"/>
      <c r="V112" s="25"/>
      <c r="W112" s="2"/>
      <c r="X112" s="26"/>
      <c r="Y112" s="27"/>
      <c r="Z112" s="2"/>
      <c r="AA112" s="28"/>
      <c r="AB112" s="25"/>
      <c r="AC112" s="2"/>
      <c r="AD112" s="26"/>
      <c r="AE112" s="27"/>
      <c r="AF112" s="2"/>
      <c r="AG112" s="26"/>
    </row>
    <row r="113" spans="1:33" x14ac:dyDescent="0.4">
      <c r="A113" s="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5"/>
      <c r="M113" s="4"/>
      <c r="N113" s="2"/>
      <c r="O113" s="5"/>
      <c r="P113" s="25"/>
      <c r="Q113" s="2"/>
      <c r="R113" s="26"/>
      <c r="S113" s="27"/>
      <c r="T113" s="2"/>
      <c r="U113" s="28"/>
      <c r="V113" s="25"/>
      <c r="W113" s="2"/>
      <c r="X113" s="26"/>
      <c r="Y113" s="27"/>
      <c r="Z113" s="2"/>
      <c r="AA113" s="28"/>
      <c r="AB113" s="25"/>
      <c r="AC113" s="2"/>
      <c r="AD113" s="26"/>
      <c r="AE113" s="27"/>
      <c r="AF113" s="2"/>
      <c r="AG113" s="26"/>
    </row>
    <row r="114" spans="1:33" x14ac:dyDescent="0.4">
      <c r="A114" s="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5"/>
      <c r="M114" s="4"/>
      <c r="N114" s="2"/>
      <c r="O114" s="5"/>
      <c r="P114" s="25"/>
      <c r="Q114" s="2"/>
      <c r="R114" s="26"/>
      <c r="S114" s="27"/>
      <c r="T114" s="2"/>
      <c r="U114" s="28"/>
      <c r="V114" s="25"/>
      <c r="W114" s="2"/>
      <c r="X114" s="26"/>
      <c r="Y114" s="27"/>
      <c r="Z114" s="2"/>
      <c r="AA114" s="28"/>
      <c r="AB114" s="25"/>
      <c r="AC114" s="2"/>
      <c r="AD114" s="26"/>
      <c r="AE114" s="27"/>
      <c r="AF114" s="2"/>
      <c r="AG114" s="26"/>
    </row>
    <row r="115" spans="1:33" x14ac:dyDescent="0.4">
      <c r="A115" s="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5"/>
      <c r="M115" s="4"/>
      <c r="N115" s="2"/>
      <c r="O115" s="5"/>
      <c r="P115" s="25"/>
      <c r="Q115" s="2"/>
      <c r="R115" s="26"/>
      <c r="S115" s="27"/>
      <c r="T115" s="2"/>
      <c r="U115" s="28"/>
      <c r="V115" s="25"/>
      <c r="W115" s="2"/>
      <c r="X115" s="26"/>
      <c r="Y115" s="27"/>
      <c r="Z115" s="2"/>
      <c r="AA115" s="28"/>
      <c r="AB115" s="25"/>
      <c r="AC115" s="2"/>
      <c r="AD115" s="26"/>
      <c r="AE115" s="27"/>
      <c r="AF115" s="2"/>
      <c r="AG115" s="26"/>
    </row>
    <row r="116" spans="1:33" x14ac:dyDescent="0.4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5"/>
      <c r="M116" s="4"/>
      <c r="N116" s="2"/>
      <c r="O116" s="5"/>
      <c r="P116" s="25"/>
      <c r="Q116" s="2"/>
      <c r="R116" s="26"/>
      <c r="S116" s="27"/>
      <c r="T116" s="2"/>
      <c r="U116" s="28"/>
      <c r="V116" s="25"/>
      <c r="W116" s="2"/>
      <c r="X116" s="26"/>
      <c r="Y116" s="27"/>
      <c r="Z116" s="2"/>
      <c r="AA116" s="28"/>
      <c r="AB116" s="25"/>
      <c r="AC116" s="2"/>
      <c r="AD116" s="26"/>
      <c r="AE116" s="27"/>
      <c r="AF116" s="2"/>
      <c r="AG116" s="26"/>
    </row>
    <row r="117" spans="1:33" x14ac:dyDescent="0.4">
      <c r="A117" s="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5"/>
      <c r="M117" s="4"/>
      <c r="N117" s="2"/>
      <c r="O117" s="5"/>
      <c r="P117" s="25"/>
      <c r="Q117" s="2"/>
      <c r="R117" s="26"/>
      <c r="S117" s="27"/>
      <c r="T117" s="2"/>
      <c r="U117" s="28"/>
      <c r="V117" s="25"/>
      <c r="W117" s="2"/>
      <c r="X117" s="26"/>
      <c r="Y117" s="27"/>
      <c r="Z117" s="2"/>
      <c r="AA117" s="28"/>
      <c r="AB117" s="25"/>
      <c r="AC117" s="2"/>
      <c r="AD117" s="26"/>
      <c r="AE117" s="27"/>
      <c r="AF117" s="2"/>
      <c r="AG117" s="26"/>
    </row>
    <row r="118" spans="1:33" x14ac:dyDescent="0.4">
      <c r="A118" s="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5"/>
      <c r="M118" s="4"/>
      <c r="N118" s="2"/>
      <c r="O118" s="5"/>
      <c r="P118" s="25"/>
      <c r="Q118" s="2"/>
      <c r="R118" s="26"/>
      <c r="S118" s="27"/>
      <c r="T118" s="2"/>
      <c r="U118" s="28"/>
      <c r="V118" s="25"/>
      <c r="W118" s="2"/>
      <c r="X118" s="26"/>
      <c r="Y118" s="27"/>
      <c r="Z118" s="2"/>
      <c r="AA118" s="28"/>
      <c r="AB118" s="25"/>
      <c r="AC118" s="2"/>
      <c r="AD118" s="26"/>
      <c r="AE118" s="27"/>
      <c r="AF118" s="2"/>
      <c r="AG118" s="26"/>
    </row>
    <row r="119" spans="1:33" x14ac:dyDescent="0.4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5"/>
      <c r="M119" s="4"/>
      <c r="N119" s="2"/>
      <c r="O119" s="5"/>
      <c r="P119" s="25"/>
      <c r="Q119" s="2"/>
      <c r="R119" s="26"/>
      <c r="S119" s="27"/>
      <c r="T119" s="2"/>
      <c r="U119" s="28"/>
      <c r="V119" s="25"/>
      <c r="W119" s="2"/>
      <c r="X119" s="26"/>
      <c r="Y119" s="27"/>
      <c r="Z119" s="2"/>
      <c r="AA119" s="28"/>
      <c r="AB119" s="25"/>
      <c r="AC119" s="2"/>
      <c r="AD119" s="26"/>
      <c r="AE119" s="27"/>
      <c r="AF119" s="2"/>
      <c r="AG119" s="26"/>
    </row>
    <row r="120" spans="1:33" x14ac:dyDescent="0.4">
      <c r="A120" s="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5"/>
      <c r="M120" s="4"/>
      <c r="N120" s="2"/>
      <c r="O120" s="5"/>
      <c r="P120" s="25"/>
      <c r="Q120" s="2"/>
      <c r="R120" s="26"/>
      <c r="S120" s="27"/>
      <c r="T120" s="2"/>
      <c r="U120" s="28"/>
      <c r="V120" s="25"/>
      <c r="W120" s="2"/>
      <c r="X120" s="26"/>
      <c r="Y120" s="27"/>
      <c r="Z120" s="2"/>
      <c r="AA120" s="28"/>
      <c r="AB120" s="25"/>
      <c r="AC120" s="2"/>
      <c r="AD120" s="26"/>
      <c r="AE120" s="27"/>
      <c r="AF120" s="2"/>
      <c r="AG120" s="26"/>
    </row>
    <row r="121" spans="1:33" x14ac:dyDescent="0.4">
      <c r="A121" s="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5"/>
      <c r="M121" s="4"/>
      <c r="N121" s="2"/>
      <c r="O121" s="5"/>
      <c r="P121" s="25"/>
      <c r="Q121" s="2"/>
      <c r="R121" s="26"/>
      <c r="S121" s="27"/>
      <c r="T121" s="2"/>
      <c r="U121" s="28"/>
      <c r="V121" s="25"/>
      <c r="W121" s="2"/>
      <c r="X121" s="26"/>
      <c r="Y121" s="27"/>
      <c r="Z121" s="2"/>
      <c r="AA121" s="28"/>
      <c r="AB121" s="25"/>
      <c r="AC121" s="2"/>
      <c r="AD121" s="26"/>
      <c r="AE121" s="27"/>
      <c r="AF121" s="2"/>
      <c r="AG121" s="26"/>
    </row>
    <row r="122" spans="1:33" x14ac:dyDescent="0.4">
      <c r="A122" s="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5"/>
      <c r="M122" s="4"/>
      <c r="N122" s="2"/>
      <c r="O122" s="5"/>
      <c r="P122" s="25"/>
      <c r="Q122" s="2"/>
      <c r="R122" s="26"/>
      <c r="S122" s="27"/>
      <c r="T122" s="2"/>
      <c r="U122" s="28"/>
      <c r="V122" s="25"/>
      <c r="W122" s="2"/>
      <c r="X122" s="26"/>
      <c r="Y122" s="27"/>
      <c r="Z122" s="2"/>
      <c r="AA122" s="28"/>
      <c r="AB122" s="25"/>
      <c r="AC122" s="2"/>
      <c r="AD122" s="26"/>
      <c r="AE122" s="27"/>
      <c r="AF122" s="2"/>
      <c r="AG122" s="26"/>
    </row>
    <row r="123" spans="1:33" x14ac:dyDescent="0.4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5"/>
      <c r="M123" s="4"/>
      <c r="N123" s="2"/>
      <c r="O123" s="5"/>
      <c r="P123" s="25"/>
      <c r="Q123" s="2"/>
      <c r="R123" s="26"/>
      <c r="S123" s="27"/>
      <c r="T123" s="2"/>
      <c r="U123" s="28"/>
      <c r="V123" s="25"/>
      <c r="W123" s="2"/>
      <c r="X123" s="26"/>
      <c r="Y123" s="27"/>
      <c r="Z123" s="2"/>
      <c r="AA123" s="28"/>
      <c r="AB123" s="25"/>
      <c r="AC123" s="2"/>
      <c r="AD123" s="26"/>
      <c r="AE123" s="27"/>
      <c r="AF123" s="2"/>
      <c r="AG123" s="26"/>
    </row>
    <row r="124" spans="1:33" x14ac:dyDescent="0.4">
      <c r="A124" s="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5"/>
      <c r="M124" s="4"/>
      <c r="N124" s="2"/>
      <c r="O124" s="5"/>
      <c r="P124" s="25"/>
      <c r="Q124" s="2"/>
      <c r="R124" s="26"/>
      <c r="S124" s="27"/>
      <c r="T124" s="2"/>
      <c r="U124" s="28"/>
      <c r="V124" s="25"/>
      <c r="W124" s="2"/>
      <c r="X124" s="26"/>
      <c r="Y124" s="27"/>
      <c r="Z124" s="2"/>
      <c r="AA124" s="28"/>
      <c r="AB124" s="25"/>
      <c r="AC124" s="2"/>
      <c r="AD124" s="26"/>
      <c r="AE124" s="27"/>
      <c r="AF124" s="2"/>
      <c r="AG124" s="26"/>
    </row>
    <row r="125" spans="1:33" x14ac:dyDescent="0.4">
      <c r="A125" s="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5"/>
      <c r="M125" s="4"/>
      <c r="N125" s="2"/>
      <c r="O125" s="5"/>
      <c r="P125" s="25"/>
      <c r="Q125" s="2"/>
      <c r="R125" s="26"/>
      <c r="S125" s="27"/>
      <c r="T125" s="2"/>
      <c r="U125" s="28"/>
      <c r="V125" s="25"/>
      <c r="W125" s="2"/>
      <c r="X125" s="26"/>
      <c r="Y125" s="27"/>
      <c r="Z125" s="2"/>
      <c r="AA125" s="28"/>
      <c r="AB125" s="25"/>
      <c r="AC125" s="2"/>
      <c r="AD125" s="26"/>
      <c r="AE125" s="27"/>
      <c r="AF125" s="2"/>
      <c r="AG125" s="26"/>
    </row>
    <row r="126" spans="1:33" x14ac:dyDescent="0.4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5"/>
      <c r="M126" s="4"/>
      <c r="N126" s="2"/>
      <c r="O126" s="5"/>
      <c r="P126" s="25"/>
      <c r="Q126" s="2"/>
      <c r="R126" s="26"/>
      <c r="S126" s="27"/>
      <c r="T126" s="2"/>
      <c r="U126" s="28"/>
      <c r="V126" s="25"/>
      <c r="W126" s="2"/>
      <c r="X126" s="26"/>
      <c r="Y126" s="27"/>
      <c r="Z126" s="2"/>
      <c r="AA126" s="28"/>
      <c r="AB126" s="25"/>
      <c r="AC126" s="2"/>
      <c r="AD126" s="26"/>
      <c r="AE126" s="27"/>
      <c r="AF126" s="2"/>
      <c r="AG126" s="26"/>
    </row>
    <row r="127" spans="1:33" x14ac:dyDescent="0.4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5"/>
      <c r="M127" s="4"/>
      <c r="N127" s="2"/>
      <c r="O127" s="5"/>
      <c r="P127" s="25"/>
      <c r="Q127" s="2"/>
      <c r="R127" s="26"/>
      <c r="S127" s="27"/>
      <c r="T127" s="2"/>
      <c r="U127" s="28"/>
      <c r="V127" s="25"/>
      <c r="W127" s="2"/>
      <c r="X127" s="26"/>
      <c r="Y127" s="27"/>
      <c r="Z127" s="2"/>
      <c r="AA127" s="28"/>
      <c r="AB127" s="25"/>
      <c r="AC127" s="2"/>
      <c r="AD127" s="26"/>
      <c r="AE127" s="27"/>
      <c r="AF127" s="2"/>
      <c r="AG127" s="26"/>
    </row>
    <row r="128" spans="1:33" x14ac:dyDescent="0.4">
      <c r="A128" s="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5"/>
      <c r="M128" s="4"/>
      <c r="N128" s="2"/>
      <c r="O128" s="5"/>
      <c r="P128" s="25"/>
      <c r="Q128" s="2"/>
      <c r="R128" s="26"/>
      <c r="S128" s="27"/>
      <c r="T128" s="2"/>
      <c r="U128" s="28"/>
      <c r="V128" s="25"/>
      <c r="W128" s="2"/>
      <c r="X128" s="26"/>
      <c r="Y128" s="27"/>
      <c r="Z128" s="2"/>
      <c r="AA128" s="28"/>
      <c r="AB128" s="25"/>
      <c r="AC128" s="2"/>
      <c r="AD128" s="26"/>
      <c r="AE128" s="27"/>
      <c r="AF128" s="2"/>
      <c r="AG128" s="26"/>
    </row>
    <row r="129" spans="1:33" x14ac:dyDescent="0.4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5"/>
      <c r="M129" s="4"/>
      <c r="N129" s="2"/>
      <c r="O129" s="5"/>
      <c r="P129" s="25"/>
      <c r="Q129" s="2"/>
      <c r="R129" s="26"/>
      <c r="S129" s="27"/>
      <c r="T129" s="2"/>
      <c r="U129" s="28"/>
      <c r="V129" s="25"/>
      <c r="W129" s="2"/>
      <c r="X129" s="26"/>
      <c r="Y129" s="27"/>
      <c r="Z129" s="2"/>
      <c r="AA129" s="28"/>
      <c r="AB129" s="25"/>
      <c r="AC129" s="2"/>
      <c r="AD129" s="26"/>
      <c r="AE129" s="27"/>
      <c r="AF129" s="2"/>
      <c r="AG129" s="26"/>
    </row>
    <row r="130" spans="1:33" x14ac:dyDescent="0.4">
      <c r="A130" s="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5"/>
      <c r="M130" s="4"/>
      <c r="N130" s="2"/>
      <c r="O130" s="5"/>
      <c r="P130" s="25"/>
      <c r="Q130" s="2"/>
      <c r="R130" s="26"/>
      <c r="S130" s="27"/>
      <c r="T130" s="2"/>
      <c r="U130" s="28"/>
      <c r="V130" s="25"/>
      <c r="W130" s="2"/>
      <c r="X130" s="26"/>
      <c r="Y130" s="27"/>
      <c r="Z130" s="2"/>
      <c r="AA130" s="28"/>
      <c r="AB130" s="25"/>
      <c r="AC130" s="2"/>
      <c r="AD130" s="26"/>
      <c r="AE130" s="27"/>
      <c r="AF130" s="2"/>
      <c r="AG130" s="26"/>
    </row>
    <row r="131" spans="1:33" x14ac:dyDescent="0.4">
      <c r="A131" s="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5"/>
      <c r="M131" s="4"/>
      <c r="N131" s="2"/>
      <c r="O131" s="5"/>
      <c r="P131" s="25"/>
      <c r="Q131" s="2"/>
      <c r="R131" s="26"/>
      <c r="S131" s="27"/>
      <c r="T131" s="2"/>
      <c r="U131" s="28"/>
      <c r="V131" s="25"/>
      <c r="W131" s="2"/>
      <c r="X131" s="26"/>
      <c r="Y131" s="27"/>
      <c r="Z131" s="2"/>
      <c r="AA131" s="28"/>
      <c r="AB131" s="25"/>
      <c r="AC131" s="2"/>
      <c r="AD131" s="26"/>
      <c r="AE131" s="27"/>
      <c r="AF131" s="2"/>
      <c r="AG131" s="26"/>
    </row>
    <row r="132" spans="1:33" x14ac:dyDescent="0.4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5"/>
      <c r="M132" s="4"/>
      <c r="N132" s="2"/>
      <c r="O132" s="5"/>
      <c r="P132" s="25"/>
      <c r="Q132" s="2"/>
      <c r="R132" s="26"/>
      <c r="S132" s="27"/>
      <c r="T132" s="2"/>
      <c r="U132" s="28"/>
      <c r="V132" s="25"/>
      <c r="W132" s="2"/>
      <c r="X132" s="26"/>
      <c r="Y132" s="27"/>
      <c r="Z132" s="2"/>
      <c r="AA132" s="28"/>
      <c r="AB132" s="25"/>
      <c r="AC132" s="2"/>
      <c r="AD132" s="26"/>
      <c r="AE132" s="27"/>
      <c r="AF132" s="2"/>
      <c r="AG132" s="26"/>
    </row>
    <row r="133" spans="1:33" x14ac:dyDescent="0.4">
      <c r="A133" s="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5"/>
      <c r="M133" s="4"/>
      <c r="N133" s="2"/>
      <c r="O133" s="5"/>
      <c r="P133" s="25"/>
      <c r="Q133" s="2"/>
      <c r="R133" s="26"/>
      <c r="S133" s="27"/>
      <c r="T133" s="2"/>
      <c r="U133" s="28"/>
      <c r="V133" s="25"/>
      <c r="W133" s="2"/>
      <c r="X133" s="26"/>
      <c r="Y133" s="27"/>
      <c r="Z133" s="2"/>
      <c r="AA133" s="28"/>
      <c r="AB133" s="25"/>
      <c r="AC133" s="2"/>
      <c r="AD133" s="26"/>
      <c r="AE133" s="27"/>
      <c r="AF133" s="2"/>
      <c r="AG133" s="26"/>
    </row>
    <row r="134" spans="1:33" x14ac:dyDescent="0.4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5"/>
      <c r="M134" s="4"/>
      <c r="N134" s="2"/>
      <c r="O134" s="5"/>
      <c r="P134" s="25"/>
      <c r="Q134" s="2"/>
      <c r="R134" s="26"/>
      <c r="S134" s="27"/>
      <c r="T134" s="2"/>
      <c r="U134" s="28"/>
      <c r="V134" s="25"/>
      <c r="W134" s="2"/>
      <c r="X134" s="26"/>
      <c r="Y134" s="27"/>
      <c r="Z134" s="2"/>
      <c r="AA134" s="28"/>
      <c r="AB134" s="25"/>
      <c r="AC134" s="2"/>
      <c r="AD134" s="26"/>
      <c r="AE134" s="27"/>
      <c r="AF134" s="2"/>
      <c r="AG134" s="26"/>
    </row>
    <row r="135" spans="1:33" x14ac:dyDescent="0.4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5"/>
      <c r="M135" s="4"/>
      <c r="N135" s="2"/>
      <c r="O135" s="5"/>
      <c r="P135" s="25"/>
      <c r="Q135" s="2"/>
      <c r="R135" s="26"/>
      <c r="S135" s="27"/>
      <c r="T135" s="2"/>
      <c r="U135" s="28"/>
      <c r="V135" s="25"/>
      <c r="W135" s="2"/>
      <c r="X135" s="26"/>
      <c r="Y135" s="27"/>
      <c r="Z135" s="2"/>
      <c r="AA135" s="28"/>
      <c r="AB135" s="25"/>
      <c r="AC135" s="2"/>
      <c r="AD135" s="26"/>
      <c r="AE135" s="27"/>
      <c r="AF135" s="2"/>
      <c r="AG135" s="26"/>
    </row>
    <row r="136" spans="1:33" x14ac:dyDescent="0.4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5"/>
      <c r="M136" s="4"/>
      <c r="N136" s="2"/>
      <c r="O136" s="5"/>
      <c r="P136" s="25"/>
      <c r="Q136" s="2"/>
      <c r="R136" s="26"/>
      <c r="S136" s="27"/>
      <c r="T136" s="2"/>
      <c r="U136" s="28"/>
      <c r="V136" s="25"/>
      <c r="W136" s="2"/>
      <c r="X136" s="26"/>
      <c r="Y136" s="27"/>
      <c r="Z136" s="2"/>
      <c r="AA136" s="28"/>
      <c r="AB136" s="25"/>
      <c r="AC136" s="2"/>
      <c r="AD136" s="26"/>
      <c r="AE136" s="27"/>
      <c r="AF136" s="2"/>
      <c r="AG136" s="26"/>
    </row>
    <row r="137" spans="1:33" x14ac:dyDescent="0.4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5"/>
      <c r="M137" s="4"/>
      <c r="N137" s="2"/>
      <c r="O137" s="5"/>
      <c r="P137" s="25"/>
      <c r="Q137" s="2"/>
      <c r="R137" s="26"/>
      <c r="S137" s="27"/>
      <c r="T137" s="2"/>
      <c r="U137" s="28"/>
      <c r="V137" s="25"/>
      <c r="W137" s="2"/>
      <c r="X137" s="26"/>
      <c r="Y137" s="27"/>
      <c r="Z137" s="2"/>
      <c r="AA137" s="28"/>
      <c r="AB137" s="25"/>
      <c r="AC137" s="2"/>
      <c r="AD137" s="26"/>
      <c r="AE137" s="27"/>
      <c r="AF137" s="2"/>
      <c r="AG137" s="26"/>
    </row>
    <row r="138" spans="1:33" x14ac:dyDescent="0.4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5"/>
      <c r="M138" s="4"/>
      <c r="N138" s="2"/>
      <c r="O138" s="5"/>
      <c r="P138" s="25"/>
      <c r="Q138" s="2"/>
      <c r="R138" s="26"/>
      <c r="S138" s="27"/>
      <c r="T138" s="2"/>
      <c r="U138" s="28"/>
      <c r="V138" s="25"/>
      <c r="W138" s="2"/>
      <c r="X138" s="26"/>
      <c r="Y138" s="27"/>
      <c r="Z138" s="2"/>
      <c r="AA138" s="28"/>
      <c r="AB138" s="25"/>
      <c r="AC138" s="2"/>
      <c r="AD138" s="26"/>
      <c r="AE138" s="27"/>
      <c r="AF138" s="2"/>
      <c r="AG138" s="26"/>
    </row>
    <row r="139" spans="1:33" x14ac:dyDescent="0.4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5"/>
      <c r="M139" s="4"/>
      <c r="N139" s="2"/>
      <c r="O139" s="5"/>
      <c r="P139" s="25"/>
      <c r="Q139" s="2"/>
      <c r="R139" s="26"/>
      <c r="S139" s="27"/>
      <c r="T139" s="2"/>
      <c r="U139" s="28"/>
      <c r="V139" s="25"/>
      <c r="W139" s="2"/>
      <c r="X139" s="26"/>
      <c r="Y139" s="27"/>
      <c r="Z139" s="2"/>
      <c r="AA139" s="28"/>
      <c r="AB139" s="25"/>
      <c r="AC139" s="2"/>
      <c r="AD139" s="26"/>
      <c r="AE139" s="27"/>
      <c r="AF139" s="2"/>
      <c r="AG139" s="26"/>
    </row>
    <row r="140" spans="1:33" x14ac:dyDescent="0.4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5"/>
      <c r="M140" s="4"/>
      <c r="N140" s="2"/>
      <c r="O140" s="5"/>
      <c r="P140" s="25"/>
      <c r="Q140" s="2"/>
      <c r="R140" s="26"/>
      <c r="S140" s="27"/>
      <c r="T140" s="2"/>
      <c r="U140" s="28"/>
      <c r="V140" s="25"/>
      <c r="W140" s="2"/>
      <c r="X140" s="26"/>
      <c r="Y140" s="27"/>
      <c r="Z140" s="2"/>
      <c r="AA140" s="28"/>
      <c r="AB140" s="25"/>
      <c r="AC140" s="2"/>
      <c r="AD140" s="26"/>
      <c r="AE140" s="27"/>
      <c r="AF140" s="2"/>
      <c r="AG140" s="26"/>
    </row>
    <row r="141" spans="1:33" x14ac:dyDescent="0.4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5"/>
      <c r="M141" s="4"/>
      <c r="N141" s="2"/>
      <c r="O141" s="5"/>
      <c r="P141" s="25"/>
      <c r="Q141" s="2"/>
      <c r="R141" s="26"/>
      <c r="S141" s="27"/>
      <c r="T141" s="2"/>
      <c r="U141" s="28"/>
      <c r="V141" s="25"/>
      <c r="W141" s="2"/>
      <c r="X141" s="26"/>
      <c r="Y141" s="27"/>
      <c r="Z141" s="2"/>
      <c r="AA141" s="28"/>
      <c r="AB141" s="25"/>
      <c r="AC141" s="2"/>
      <c r="AD141" s="26"/>
      <c r="AE141" s="27"/>
      <c r="AF141" s="2"/>
      <c r="AG141" s="26"/>
    </row>
    <row r="142" spans="1:33" x14ac:dyDescent="0.4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5"/>
      <c r="M142" s="4"/>
      <c r="N142" s="2"/>
      <c r="O142" s="5"/>
      <c r="P142" s="25"/>
      <c r="Q142" s="2"/>
      <c r="R142" s="26"/>
      <c r="S142" s="27"/>
      <c r="T142" s="2"/>
      <c r="U142" s="28"/>
      <c r="V142" s="25"/>
      <c r="W142" s="2"/>
      <c r="X142" s="26"/>
      <c r="Y142" s="27"/>
      <c r="Z142" s="2"/>
      <c r="AA142" s="28"/>
      <c r="AB142" s="25"/>
      <c r="AC142" s="2"/>
      <c r="AD142" s="26"/>
      <c r="AE142" s="27"/>
      <c r="AF142" s="2"/>
      <c r="AG142" s="26"/>
    </row>
    <row r="143" spans="1:33" x14ac:dyDescent="0.4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5"/>
      <c r="M143" s="4"/>
      <c r="N143" s="2"/>
      <c r="O143" s="5"/>
      <c r="P143" s="25"/>
      <c r="Q143" s="2"/>
      <c r="R143" s="26"/>
      <c r="S143" s="27"/>
      <c r="T143" s="2"/>
      <c r="U143" s="28"/>
      <c r="V143" s="25"/>
      <c r="W143" s="2"/>
      <c r="X143" s="26"/>
      <c r="Y143" s="27"/>
      <c r="Z143" s="2"/>
      <c r="AA143" s="28"/>
      <c r="AB143" s="25"/>
      <c r="AC143" s="2"/>
      <c r="AD143" s="26"/>
      <c r="AE143" s="27"/>
      <c r="AF143" s="2"/>
      <c r="AG143" s="26"/>
    </row>
    <row r="144" spans="1:33" x14ac:dyDescent="0.4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5"/>
      <c r="M144" s="4"/>
      <c r="N144" s="2"/>
      <c r="O144" s="5"/>
      <c r="P144" s="25"/>
      <c r="Q144" s="2"/>
      <c r="R144" s="26"/>
      <c r="S144" s="27"/>
      <c r="T144" s="2"/>
      <c r="U144" s="28"/>
      <c r="V144" s="25"/>
      <c r="W144" s="2"/>
      <c r="X144" s="26"/>
      <c r="Y144" s="27"/>
      <c r="Z144" s="2"/>
      <c r="AA144" s="28"/>
      <c r="AB144" s="25"/>
      <c r="AC144" s="2"/>
      <c r="AD144" s="26"/>
      <c r="AE144" s="27"/>
      <c r="AF144" s="2"/>
      <c r="AG144" s="26"/>
    </row>
    <row r="145" spans="1:33" x14ac:dyDescent="0.4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5"/>
      <c r="M145" s="4"/>
      <c r="N145" s="2"/>
      <c r="O145" s="5"/>
      <c r="P145" s="25"/>
      <c r="Q145" s="2"/>
      <c r="R145" s="26"/>
      <c r="S145" s="27"/>
      <c r="T145" s="2"/>
      <c r="U145" s="28"/>
      <c r="V145" s="25"/>
      <c r="W145" s="2"/>
      <c r="X145" s="26"/>
      <c r="Y145" s="27"/>
      <c r="Z145" s="2"/>
      <c r="AA145" s="28"/>
      <c r="AB145" s="25"/>
      <c r="AC145" s="2"/>
      <c r="AD145" s="26"/>
      <c r="AE145" s="27"/>
      <c r="AF145" s="2"/>
      <c r="AG145" s="26"/>
    </row>
    <row r="146" spans="1:33" x14ac:dyDescent="0.4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5"/>
      <c r="M146" s="4"/>
      <c r="N146" s="2"/>
      <c r="O146" s="5"/>
      <c r="P146" s="25"/>
      <c r="Q146" s="2"/>
      <c r="R146" s="26"/>
      <c r="S146" s="27"/>
      <c r="T146" s="2"/>
      <c r="U146" s="28"/>
      <c r="V146" s="25"/>
      <c r="W146" s="2"/>
      <c r="X146" s="26"/>
      <c r="Y146" s="27"/>
      <c r="Z146" s="2"/>
      <c r="AA146" s="28"/>
      <c r="AB146" s="25"/>
      <c r="AC146" s="2"/>
      <c r="AD146" s="26"/>
      <c r="AE146" s="27"/>
      <c r="AF146" s="2"/>
      <c r="AG146" s="26"/>
    </row>
    <row r="147" spans="1:33" x14ac:dyDescent="0.4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5"/>
      <c r="M147" s="4"/>
      <c r="N147" s="2"/>
      <c r="O147" s="5"/>
      <c r="P147" s="25"/>
      <c r="Q147" s="2"/>
      <c r="R147" s="26"/>
      <c r="S147" s="27"/>
      <c r="T147" s="2"/>
      <c r="U147" s="28"/>
      <c r="V147" s="25"/>
      <c r="W147" s="2"/>
      <c r="X147" s="26"/>
      <c r="Y147" s="27"/>
      <c r="Z147" s="2"/>
      <c r="AA147" s="28"/>
      <c r="AB147" s="25"/>
      <c r="AC147" s="2"/>
      <c r="AD147" s="26"/>
      <c r="AE147" s="27"/>
      <c r="AF147" s="2"/>
      <c r="AG147" s="26"/>
    </row>
    <row r="148" spans="1:33" x14ac:dyDescent="0.4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5"/>
      <c r="M148" s="4"/>
      <c r="N148" s="2"/>
      <c r="O148" s="5"/>
      <c r="P148" s="25"/>
      <c r="Q148" s="2"/>
      <c r="R148" s="26"/>
      <c r="S148" s="27"/>
      <c r="T148" s="2"/>
      <c r="U148" s="28"/>
      <c r="V148" s="25"/>
      <c r="W148" s="2"/>
      <c r="X148" s="26"/>
      <c r="Y148" s="27"/>
      <c r="Z148" s="2"/>
      <c r="AA148" s="28"/>
      <c r="AB148" s="25"/>
      <c r="AC148" s="2"/>
      <c r="AD148" s="26"/>
      <c r="AE148" s="27"/>
      <c r="AF148" s="2"/>
      <c r="AG148" s="26"/>
    </row>
    <row r="149" spans="1:33" x14ac:dyDescent="0.4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5"/>
      <c r="M149" s="4"/>
      <c r="N149" s="2"/>
      <c r="O149" s="5"/>
      <c r="P149" s="25"/>
      <c r="Q149" s="2"/>
      <c r="R149" s="26"/>
      <c r="S149" s="27"/>
      <c r="T149" s="2"/>
      <c r="U149" s="28"/>
      <c r="V149" s="25"/>
      <c r="W149" s="2"/>
      <c r="X149" s="26"/>
      <c r="Y149" s="27"/>
      <c r="Z149" s="2"/>
      <c r="AA149" s="28"/>
      <c r="AB149" s="25"/>
      <c r="AC149" s="2"/>
      <c r="AD149" s="26"/>
      <c r="AE149" s="27"/>
      <c r="AF149" s="2"/>
      <c r="AG149" s="26"/>
    </row>
    <row r="150" spans="1:33" x14ac:dyDescent="0.4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5"/>
      <c r="M150" s="4"/>
      <c r="N150" s="2"/>
      <c r="O150" s="5"/>
      <c r="P150" s="25"/>
      <c r="Q150" s="2"/>
      <c r="R150" s="26"/>
      <c r="S150" s="27"/>
      <c r="T150" s="2"/>
      <c r="U150" s="28"/>
      <c r="V150" s="25"/>
      <c r="W150" s="2"/>
      <c r="X150" s="26"/>
      <c r="Y150" s="27"/>
      <c r="Z150" s="2"/>
      <c r="AA150" s="28"/>
      <c r="AB150" s="25"/>
      <c r="AC150" s="2"/>
      <c r="AD150" s="26"/>
      <c r="AE150" s="27"/>
      <c r="AF150" s="2"/>
      <c r="AG150" s="26"/>
    </row>
    <row r="151" spans="1:33" x14ac:dyDescent="0.4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5"/>
      <c r="M151" s="4"/>
      <c r="N151" s="2"/>
      <c r="O151" s="5"/>
      <c r="P151" s="25"/>
      <c r="Q151" s="2"/>
      <c r="R151" s="26"/>
      <c r="S151" s="27"/>
      <c r="T151" s="2"/>
      <c r="U151" s="28"/>
      <c r="V151" s="25"/>
      <c r="W151" s="2"/>
      <c r="X151" s="26"/>
      <c r="Y151" s="27"/>
      <c r="Z151" s="2"/>
      <c r="AA151" s="28"/>
      <c r="AB151" s="25"/>
      <c r="AC151" s="2"/>
      <c r="AD151" s="26"/>
      <c r="AE151" s="27"/>
      <c r="AF151" s="2"/>
      <c r="AG151" s="26"/>
    </row>
    <row r="152" spans="1:33" x14ac:dyDescent="0.4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5"/>
      <c r="M152" s="4"/>
      <c r="N152" s="2"/>
      <c r="O152" s="5"/>
      <c r="P152" s="25"/>
      <c r="Q152" s="2"/>
      <c r="R152" s="26"/>
      <c r="S152" s="27"/>
      <c r="T152" s="2"/>
      <c r="U152" s="28"/>
      <c r="V152" s="25"/>
      <c r="W152" s="2"/>
      <c r="X152" s="26"/>
      <c r="Y152" s="27"/>
      <c r="Z152" s="2"/>
      <c r="AA152" s="28"/>
      <c r="AB152" s="25"/>
      <c r="AC152" s="2"/>
      <c r="AD152" s="26"/>
      <c r="AE152" s="27"/>
      <c r="AF152" s="2"/>
      <c r="AG152" s="26"/>
    </row>
    <row r="153" spans="1:33" x14ac:dyDescent="0.4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5"/>
      <c r="M153" s="4"/>
      <c r="N153" s="2"/>
      <c r="O153" s="5"/>
      <c r="P153" s="25"/>
      <c r="Q153" s="2"/>
      <c r="R153" s="26"/>
      <c r="S153" s="27"/>
      <c r="T153" s="2"/>
      <c r="U153" s="28"/>
      <c r="V153" s="25"/>
      <c r="W153" s="2"/>
      <c r="X153" s="26"/>
      <c r="Y153" s="27"/>
      <c r="Z153" s="2"/>
      <c r="AA153" s="28"/>
      <c r="AB153" s="25"/>
      <c r="AC153" s="2"/>
      <c r="AD153" s="26"/>
      <c r="AE153" s="27"/>
      <c r="AF153" s="2"/>
      <c r="AG153" s="26"/>
    </row>
    <row r="154" spans="1:33" x14ac:dyDescent="0.4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5"/>
      <c r="M154" s="4"/>
      <c r="N154" s="2"/>
      <c r="O154" s="5"/>
      <c r="P154" s="25"/>
      <c r="Q154" s="2"/>
      <c r="R154" s="26"/>
      <c r="S154" s="27"/>
      <c r="T154" s="2"/>
      <c r="U154" s="28"/>
      <c r="V154" s="25"/>
      <c r="W154" s="2"/>
      <c r="X154" s="26"/>
      <c r="Y154" s="27"/>
      <c r="Z154" s="2"/>
      <c r="AA154" s="28"/>
      <c r="AB154" s="25"/>
      <c r="AC154" s="2"/>
      <c r="AD154" s="26"/>
      <c r="AE154" s="27"/>
      <c r="AF154" s="2"/>
      <c r="AG154" s="26"/>
    </row>
    <row r="155" spans="1:33" x14ac:dyDescent="0.4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5"/>
      <c r="M155" s="4"/>
      <c r="N155" s="2"/>
      <c r="O155" s="5"/>
      <c r="P155" s="25"/>
      <c r="Q155" s="2"/>
      <c r="R155" s="26"/>
      <c r="S155" s="27"/>
      <c r="T155" s="2"/>
      <c r="U155" s="28"/>
      <c r="V155" s="25"/>
      <c r="W155" s="2"/>
      <c r="X155" s="26"/>
      <c r="Y155" s="27"/>
      <c r="Z155" s="2"/>
      <c r="AA155" s="28"/>
      <c r="AB155" s="25"/>
      <c r="AC155" s="2"/>
      <c r="AD155" s="26"/>
      <c r="AE155" s="27"/>
      <c r="AF155" s="2"/>
      <c r="AG155" s="26"/>
    </row>
    <row r="156" spans="1:33" x14ac:dyDescent="0.4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5"/>
      <c r="M156" s="4"/>
      <c r="N156" s="2"/>
      <c r="O156" s="5"/>
      <c r="P156" s="25"/>
      <c r="Q156" s="2"/>
      <c r="R156" s="26"/>
      <c r="S156" s="27"/>
      <c r="T156" s="2"/>
      <c r="U156" s="28"/>
      <c r="V156" s="25"/>
      <c r="W156" s="2"/>
      <c r="X156" s="26"/>
      <c r="Y156" s="27"/>
      <c r="Z156" s="2"/>
      <c r="AA156" s="28"/>
      <c r="AB156" s="25"/>
      <c r="AC156" s="2"/>
      <c r="AD156" s="26"/>
      <c r="AE156" s="27"/>
      <c r="AF156" s="2"/>
      <c r="AG156" s="26"/>
    </row>
    <row r="157" spans="1:33" x14ac:dyDescent="0.4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5"/>
      <c r="M157" s="4"/>
      <c r="N157" s="2"/>
      <c r="O157" s="5"/>
      <c r="P157" s="25"/>
      <c r="Q157" s="2"/>
      <c r="R157" s="26"/>
      <c r="S157" s="27"/>
      <c r="T157" s="2"/>
      <c r="U157" s="28"/>
      <c r="V157" s="25"/>
      <c r="W157" s="2"/>
      <c r="X157" s="26"/>
      <c r="Y157" s="27"/>
      <c r="Z157" s="2"/>
      <c r="AA157" s="28"/>
      <c r="AB157" s="25"/>
      <c r="AC157" s="2"/>
      <c r="AD157" s="26"/>
      <c r="AE157" s="27"/>
      <c r="AF157" s="2"/>
      <c r="AG157" s="26"/>
    </row>
    <row r="158" spans="1:33" x14ac:dyDescent="0.4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5"/>
      <c r="M158" s="4"/>
      <c r="N158" s="2"/>
      <c r="O158" s="5"/>
      <c r="P158" s="25"/>
      <c r="Q158" s="2"/>
      <c r="R158" s="26"/>
      <c r="S158" s="27"/>
      <c r="T158" s="2"/>
      <c r="U158" s="28"/>
      <c r="V158" s="25"/>
      <c r="W158" s="2"/>
      <c r="X158" s="26"/>
      <c r="Y158" s="27"/>
      <c r="Z158" s="2"/>
      <c r="AA158" s="28"/>
      <c r="AB158" s="25"/>
      <c r="AC158" s="2"/>
      <c r="AD158" s="26"/>
      <c r="AE158" s="27"/>
      <c r="AF158" s="2"/>
      <c r="AG158" s="26"/>
    </row>
    <row r="159" spans="1:33" x14ac:dyDescent="0.4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5"/>
      <c r="M159" s="4"/>
      <c r="N159" s="2"/>
      <c r="O159" s="5"/>
      <c r="P159" s="25"/>
      <c r="Q159" s="2"/>
      <c r="R159" s="26"/>
      <c r="S159" s="27"/>
      <c r="T159" s="2"/>
      <c r="U159" s="28"/>
      <c r="V159" s="25"/>
      <c r="W159" s="2"/>
      <c r="X159" s="26"/>
      <c r="Y159" s="27"/>
      <c r="Z159" s="2"/>
      <c r="AA159" s="28"/>
      <c r="AB159" s="25"/>
      <c r="AC159" s="2"/>
      <c r="AD159" s="26"/>
      <c r="AE159" s="27"/>
      <c r="AF159" s="2"/>
      <c r="AG159" s="26"/>
    </row>
    <row r="160" spans="1:33" x14ac:dyDescent="0.4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5"/>
      <c r="M160" s="4"/>
      <c r="N160" s="2"/>
      <c r="O160" s="5"/>
      <c r="P160" s="25"/>
      <c r="Q160" s="2"/>
      <c r="R160" s="26"/>
      <c r="S160" s="27"/>
      <c r="T160" s="2"/>
      <c r="U160" s="28"/>
      <c r="V160" s="25"/>
      <c r="W160" s="2"/>
      <c r="X160" s="26"/>
      <c r="Y160" s="27"/>
      <c r="Z160" s="2"/>
      <c r="AA160" s="28"/>
      <c r="AB160" s="25"/>
      <c r="AC160" s="2"/>
      <c r="AD160" s="26"/>
      <c r="AE160" s="27"/>
      <c r="AF160" s="2"/>
      <c r="AG160" s="26"/>
    </row>
    <row r="161" spans="1:33" x14ac:dyDescent="0.4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5"/>
      <c r="M161" s="4"/>
      <c r="N161" s="2"/>
      <c r="O161" s="5"/>
      <c r="P161" s="25"/>
      <c r="Q161" s="2"/>
      <c r="R161" s="26"/>
      <c r="S161" s="27"/>
      <c r="T161" s="2"/>
      <c r="U161" s="28"/>
      <c r="V161" s="25"/>
      <c r="W161" s="2"/>
      <c r="X161" s="26"/>
      <c r="Y161" s="27"/>
      <c r="Z161" s="2"/>
      <c r="AA161" s="28"/>
      <c r="AB161" s="25"/>
      <c r="AC161" s="2"/>
      <c r="AD161" s="26"/>
      <c r="AE161" s="27"/>
      <c r="AF161" s="2"/>
      <c r="AG161" s="26"/>
    </row>
    <row r="162" spans="1:33" x14ac:dyDescent="0.4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5"/>
      <c r="M162" s="4"/>
      <c r="N162" s="2"/>
      <c r="O162" s="5"/>
      <c r="P162" s="25"/>
      <c r="Q162" s="2"/>
      <c r="R162" s="26"/>
      <c r="S162" s="27"/>
      <c r="T162" s="2"/>
      <c r="U162" s="28"/>
      <c r="V162" s="25"/>
      <c r="W162" s="2"/>
      <c r="X162" s="26"/>
      <c r="Y162" s="27"/>
      <c r="Z162" s="2"/>
      <c r="AA162" s="28"/>
      <c r="AB162" s="25"/>
      <c r="AC162" s="2"/>
      <c r="AD162" s="26"/>
      <c r="AE162" s="27"/>
      <c r="AF162" s="2"/>
      <c r="AG162" s="26"/>
    </row>
    <row r="163" spans="1:33" x14ac:dyDescent="0.4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5"/>
      <c r="M163" s="4"/>
      <c r="N163" s="2"/>
      <c r="O163" s="5"/>
      <c r="P163" s="25"/>
      <c r="Q163" s="2"/>
      <c r="R163" s="26"/>
      <c r="S163" s="27"/>
      <c r="T163" s="2"/>
      <c r="U163" s="28"/>
      <c r="V163" s="25"/>
      <c r="W163" s="2"/>
      <c r="X163" s="26"/>
      <c r="Y163" s="27"/>
      <c r="Z163" s="2"/>
      <c r="AA163" s="28"/>
      <c r="AB163" s="25"/>
      <c r="AC163" s="2"/>
      <c r="AD163" s="26"/>
      <c r="AE163" s="27"/>
      <c r="AF163" s="2"/>
      <c r="AG163" s="26"/>
    </row>
    <row r="164" spans="1:33" x14ac:dyDescent="0.4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5"/>
      <c r="M164" s="4"/>
      <c r="N164" s="2"/>
      <c r="O164" s="5"/>
      <c r="P164" s="25"/>
      <c r="Q164" s="2"/>
      <c r="R164" s="26"/>
      <c r="S164" s="27"/>
      <c r="T164" s="2"/>
      <c r="U164" s="28"/>
      <c r="V164" s="25"/>
      <c r="W164" s="2"/>
      <c r="X164" s="26"/>
      <c r="Y164" s="27"/>
      <c r="Z164" s="2"/>
      <c r="AA164" s="28"/>
      <c r="AB164" s="25"/>
      <c r="AC164" s="2"/>
      <c r="AD164" s="26"/>
      <c r="AE164" s="27"/>
      <c r="AF164" s="2"/>
      <c r="AG164" s="26"/>
    </row>
    <row r="165" spans="1:33" x14ac:dyDescent="0.4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5"/>
      <c r="M165" s="4"/>
      <c r="N165" s="2"/>
      <c r="O165" s="5"/>
      <c r="P165" s="25"/>
      <c r="Q165" s="2"/>
      <c r="R165" s="26"/>
      <c r="S165" s="27"/>
      <c r="T165" s="2"/>
      <c r="U165" s="28"/>
      <c r="V165" s="25"/>
      <c r="W165" s="2"/>
      <c r="X165" s="26"/>
      <c r="Y165" s="27"/>
      <c r="Z165" s="2"/>
      <c r="AA165" s="28"/>
      <c r="AB165" s="25"/>
      <c r="AC165" s="2"/>
      <c r="AD165" s="26"/>
      <c r="AE165" s="27"/>
      <c r="AF165" s="2"/>
      <c r="AG165" s="26"/>
    </row>
    <row r="166" spans="1:33" x14ac:dyDescent="0.4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5"/>
      <c r="M166" s="4"/>
      <c r="N166" s="2"/>
      <c r="O166" s="5"/>
      <c r="P166" s="25"/>
      <c r="Q166" s="2"/>
      <c r="R166" s="26"/>
      <c r="S166" s="27"/>
      <c r="T166" s="2"/>
      <c r="U166" s="28"/>
      <c r="V166" s="25"/>
      <c r="W166" s="2"/>
      <c r="X166" s="26"/>
      <c r="Y166" s="27"/>
      <c r="Z166" s="2"/>
      <c r="AA166" s="28"/>
      <c r="AB166" s="25"/>
      <c r="AC166" s="2"/>
      <c r="AD166" s="26"/>
      <c r="AE166" s="27"/>
      <c r="AF166" s="2"/>
      <c r="AG166" s="26"/>
    </row>
    <row r="167" spans="1:33" x14ac:dyDescent="0.4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5"/>
      <c r="M167" s="4"/>
      <c r="N167" s="2"/>
      <c r="O167" s="5"/>
      <c r="P167" s="25"/>
      <c r="Q167" s="2"/>
      <c r="R167" s="26"/>
      <c r="S167" s="27"/>
      <c r="T167" s="2"/>
      <c r="U167" s="28"/>
      <c r="V167" s="25"/>
      <c r="W167" s="2"/>
      <c r="X167" s="26"/>
      <c r="Y167" s="27"/>
      <c r="Z167" s="2"/>
      <c r="AA167" s="28"/>
      <c r="AB167" s="25"/>
      <c r="AC167" s="2"/>
      <c r="AD167" s="26"/>
      <c r="AE167" s="27"/>
      <c r="AF167" s="2"/>
      <c r="AG167" s="26"/>
    </row>
    <row r="168" spans="1:33" x14ac:dyDescent="0.4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5"/>
      <c r="M168" s="4"/>
      <c r="N168" s="2"/>
      <c r="O168" s="5"/>
      <c r="P168" s="25"/>
      <c r="Q168" s="2"/>
      <c r="R168" s="26"/>
      <c r="S168" s="27"/>
      <c r="T168" s="2"/>
      <c r="U168" s="28"/>
      <c r="V168" s="25"/>
      <c r="W168" s="2"/>
      <c r="X168" s="26"/>
      <c r="Y168" s="27"/>
      <c r="Z168" s="2"/>
      <c r="AA168" s="28"/>
      <c r="AB168" s="25"/>
      <c r="AC168" s="2"/>
      <c r="AD168" s="26"/>
      <c r="AE168" s="27"/>
      <c r="AF168" s="2"/>
      <c r="AG168" s="26"/>
    </row>
    <row r="169" spans="1:33" x14ac:dyDescent="0.4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5"/>
      <c r="M169" s="4"/>
      <c r="N169" s="2"/>
      <c r="O169" s="5"/>
      <c r="P169" s="25"/>
      <c r="Q169" s="2"/>
      <c r="R169" s="26"/>
      <c r="S169" s="27"/>
      <c r="T169" s="2"/>
      <c r="U169" s="28"/>
      <c r="V169" s="25"/>
      <c r="W169" s="2"/>
      <c r="X169" s="26"/>
      <c r="Y169" s="27"/>
      <c r="Z169" s="2"/>
      <c r="AA169" s="28"/>
      <c r="AB169" s="25"/>
      <c r="AC169" s="2"/>
      <c r="AD169" s="26"/>
      <c r="AE169" s="27"/>
      <c r="AF169" s="2"/>
      <c r="AG169" s="26"/>
    </row>
    <row r="170" spans="1:33" x14ac:dyDescent="0.4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5"/>
      <c r="M170" s="4"/>
      <c r="N170" s="2"/>
      <c r="O170" s="5"/>
      <c r="P170" s="25"/>
      <c r="Q170" s="2"/>
      <c r="R170" s="26"/>
      <c r="S170" s="27"/>
      <c r="T170" s="2"/>
      <c r="U170" s="28"/>
      <c r="V170" s="25"/>
      <c r="W170" s="2"/>
      <c r="X170" s="26"/>
      <c r="Y170" s="27"/>
      <c r="Z170" s="2"/>
      <c r="AA170" s="28"/>
      <c r="AB170" s="25"/>
      <c r="AC170" s="2"/>
      <c r="AD170" s="26"/>
      <c r="AE170" s="27"/>
      <c r="AF170" s="2"/>
      <c r="AG170" s="26"/>
    </row>
    <row r="171" spans="1:33" x14ac:dyDescent="0.4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5"/>
      <c r="M171" s="4"/>
      <c r="N171" s="2"/>
      <c r="O171" s="5"/>
      <c r="P171" s="25"/>
      <c r="Q171" s="2"/>
      <c r="R171" s="26"/>
      <c r="S171" s="27"/>
      <c r="T171" s="2"/>
      <c r="U171" s="28"/>
      <c r="V171" s="25"/>
      <c r="W171" s="2"/>
      <c r="X171" s="26"/>
      <c r="Y171" s="27"/>
      <c r="Z171" s="2"/>
      <c r="AA171" s="28"/>
      <c r="AB171" s="25"/>
      <c r="AC171" s="2"/>
      <c r="AD171" s="26"/>
      <c r="AE171" s="27"/>
      <c r="AF171" s="2"/>
      <c r="AG171" s="26"/>
    </row>
    <row r="172" spans="1:33" x14ac:dyDescent="0.4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5"/>
      <c r="M172" s="4"/>
      <c r="N172" s="2"/>
      <c r="O172" s="5"/>
      <c r="P172" s="25"/>
      <c r="Q172" s="2"/>
      <c r="R172" s="26"/>
      <c r="S172" s="27"/>
      <c r="T172" s="2"/>
      <c r="U172" s="28"/>
      <c r="V172" s="25"/>
      <c r="W172" s="2"/>
      <c r="X172" s="26"/>
      <c r="Y172" s="27"/>
      <c r="Z172" s="2"/>
      <c r="AA172" s="28"/>
      <c r="AB172" s="25"/>
      <c r="AC172" s="2"/>
      <c r="AD172" s="26"/>
      <c r="AE172" s="27"/>
      <c r="AF172" s="2"/>
      <c r="AG172" s="26"/>
    </row>
    <row r="173" spans="1:33" x14ac:dyDescent="0.4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5"/>
      <c r="M173" s="4"/>
      <c r="N173" s="2"/>
      <c r="O173" s="5"/>
      <c r="P173" s="25"/>
      <c r="Q173" s="2"/>
      <c r="R173" s="26"/>
      <c r="S173" s="27"/>
      <c r="T173" s="2"/>
      <c r="U173" s="28"/>
      <c r="V173" s="25"/>
      <c r="W173" s="2"/>
      <c r="X173" s="26"/>
      <c r="Y173" s="27"/>
      <c r="Z173" s="2"/>
      <c r="AA173" s="28"/>
      <c r="AB173" s="25"/>
      <c r="AC173" s="2"/>
      <c r="AD173" s="26"/>
      <c r="AE173" s="27"/>
      <c r="AF173" s="2"/>
      <c r="AG173" s="26"/>
    </row>
    <row r="174" spans="1:33" x14ac:dyDescent="0.4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5"/>
      <c r="M174" s="4"/>
      <c r="N174" s="2"/>
      <c r="O174" s="5"/>
      <c r="P174" s="25"/>
      <c r="Q174" s="2"/>
      <c r="R174" s="26"/>
      <c r="S174" s="27"/>
      <c r="T174" s="2"/>
      <c r="U174" s="28"/>
      <c r="V174" s="25"/>
      <c r="W174" s="2"/>
      <c r="X174" s="26"/>
      <c r="Y174" s="27"/>
      <c r="Z174" s="2"/>
      <c r="AA174" s="28"/>
      <c r="AB174" s="25"/>
      <c r="AC174" s="2"/>
      <c r="AD174" s="26"/>
      <c r="AE174" s="27"/>
      <c r="AF174" s="2"/>
      <c r="AG174" s="26"/>
    </row>
    <row r="175" spans="1:33" x14ac:dyDescent="0.4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5"/>
      <c r="M175" s="4"/>
      <c r="N175" s="2"/>
      <c r="O175" s="5"/>
      <c r="P175" s="25"/>
      <c r="Q175" s="2"/>
      <c r="R175" s="26"/>
      <c r="S175" s="27"/>
      <c r="T175" s="2"/>
      <c r="U175" s="28"/>
      <c r="V175" s="25"/>
      <c r="W175" s="2"/>
      <c r="X175" s="26"/>
      <c r="Y175" s="27"/>
      <c r="Z175" s="2"/>
      <c r="AA175" s="28"/>
      <c r="AB175" s="25"/>
      <c r="AC175" s="2"/>
      <c r="AD175" s="26"/>
      <c r="AE175" s="27"/>
      <c r="AF175" s="2"/>
      <c r="AG175" s="26"/>
    </row>
    <row r="176" spans="1:33" x14ac:dyDescent="0.4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5"/>
      <c r="M176" s="4"/>
      <c r="N176" s="2"/>
      <c r="O176" s="5"/>
      <c r="P176" s="25"/>
      <c r="Q176" s="2"/>
      <c r="R176" s="26"/>
      <c r="S176" s="27"/>
      <c r="T176" s="2"/>
      <c r="U176" s="28"/>
      <c r="V176" s="25"/>
      <c r="W176" s="2"/>
      <c r="X176" s="26"/>
      <c r="Y176" s="27"/>
      <c r="Z176" s="2"/>
      <c r="AA176" s="28"/>
      <c r="AB176" s="25"/>
      <c r="AC176" s="2"/>
      <c r="AD176" s="26"/>
      <c r="AE176" s="27"/>
      <c r="AF176" s="2"/>
      <c r="AG176" s="26"/>
    </row>
    <row r="177" spans="1:33" x14ac:dyDescent="0.4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5"/>
      <c r="M177" s="4"/>
      <c r="N177" s="2"/>
      <c r="O177" s="5"/>
      <c r="P177" s="25"/>
      <c r="Q177" s="2"/>
      <c r="R177" s="26"/>
      <c r="S177" s="27"/>
      <c r="T177" s="2"/>
      <c r="U177" s="28"/>
      <c r="V177" s="25"/>
      <c r="W177" s="2"/>
      <c r="X177" s="26"/>
      <c r="Y177" s="27"/>
      <c r="Z177" s="2"/>
      <c r="AA177" s="28"/>
      <c r="AB177" s="25"/>
      <c r="AC177" s="2"/>
      <c r="AD177" s="26"/>
      <c r="AE177" s="27"/>
      <c r="AF177" s="2"/>
      <c r="AG177" s="26"/>
    </row>
    <row r="178" spans="1:33" x14ac:dyDescent="0.4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5"/>
      <c r="M178" s="4"/>
      <c r="N178" s="2"/>
      <c r="O178" s="5"/>
      <c r="P178" s="25"/>
      <c r="Q178" s="2"/>
      <c r="R178" s="26"/>
      <c r="S178" s="27"/>
      <c r="T178" s="2"/>
      <c r="U178" s="28"/>
      <c r="V178" s="25"/>
      <c r="W178" s="2"/>
      <c r="X178" s="26"/>
      <c r="Y178" s="27"/>
      <c r="Z178" s="2"/>
      <c r="AA178" s="28"/>
      <c r="AB178" s="25"/>
      <c r="AC178" s="2"/>
      <c r="AD178" s="26"/>
      <c r="AE178" s="27"/>
      <c r="AF178" s="2"/>
      <c r="AG178" s="26"/>
    </row>
    <row r="179" spans="1:33" x14ac:dyDescent="0.4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5"/>
      <c r="M179" s="4"/>
      <c r="N179" s="2"/>
      <c r="O179" s="5"/>
      <c r="P179" s="25"/>
      <c r="Q179" s="2"/>
      <c r="R179" s="26"/>
      <c r="S179" s="27"/>
      <c r="T179" s="2"/>
      <c r="U179" s="28"/>
      <c r="V179" s="25"/>
      <c r="W179" s="2"/>
      <c r="X179" s="26"/>
      <c r="Y179" s="27"/>
      <c r="Z179" s="2"/>
      <c r="AA179" s="28"/>
      <c r="AB179" s="25"/>
      <c r="AC179" s="2"/>
      <c r="AD179" s="26"/>
      <c r="AE179" s="27"/>
      <c r="AF179" s="2"/>
      <c r="AG179" s="26"/>
    </row>
    <row r="180" spans="1:33" x14ac:dyDescent="0.4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5"/>
      <c r="M180" s="4"/>
      <c r="N180" s="2"/>
      <c r="O180" s="5"/>
      <c r="P180" s="25"/>
      <c r="Q180" s="2"/>
      <c r="R180" s="26"/>
      <c r="S180" s="27"/>
      <c r="T180" s="2"/>
      <c r="U180" s="28"/>
      <c r="V180" s="25"/>
      <c r="W180" s="2"/>
      <c r="X180" s="26"/>
      <c r="Y180" s="27"/>
      <c r="Z180" s="2"/>
      <c r="AA180" s="28"/>
      <c r="AB180" s="25"/>
      <c r="AC180" s="2"/>
      <c r="AD180" s="26"/>
      <c r="AE180" s="27"/>
      <c r="AF180" s="2"/>
      <c r="AG180" s="26"/>
    </row>
    <row r="181" spans="1:33" x14ac:dyDescent="0.4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5"/>
      <c r="M181" s="4"/>
      <c r="N181" s="2"/>
      <c r="O181" s="5"/>
      <c r="P181" s="25"/>
      <c r="Q181" s="2"/>
      <c r="R181" s="26"/>
      <c r="S181" s="27"/>
      <c r="T181" s="2"/>
      <c r="U181" s="28"/>
      <c r="V181" s="25"/>
      <c r="W181" s="2"/>
      <c r="X181" s="26"/>
      <c r="Y181" s="27"/>
      <c r="Z181" s="2"/>
      <c r="AA181" s="28"/>
      <c r="AB181" s="25"/>
      <c r="AC181" s="2"/>
      <c r="AD181" s="26"/>
      <c r="AE181" s="27"/>
      <c r="AF181" s="2"/>
      <c r="AG181" s="26"/>
    </row>
    <row r="182" spans="1:33" x14ac:dyDescent="0.4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5"/>
      <c r="M182" s="4"/>
      <c r="N182" s="2"/>
      <c r="O182" s="5"/>
      <c r="P182" s="25"/>
      <c r="Q182" s="2"/>
      <c r="R182" s="26"/>
      <c r="S182" s="27"/>
      <c r="T182" s="2"/>
      <c r="U182" s="28"/>
      <c r="V182" s="25"/>
      <c r="W182" s="2"/>
      <c r="X182" s="26"/>
      <c r="Y182" s="27"/>
      <c r="Z182" s="2"/>
      <c r="AA182" s="28"/>
      <c r="AB182" s="25"/>
      <c r="AC182" s="2"/>
      <c r="AD182" s="26"/>
      <c r="AE182" s="27"/>
      <c r="AF182" s="2"/>
      <c r="AG182" s="26"/>
    </row>
    <row r="183" spans="1:33" x14ac:dyDescent="0.4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5"/>
      <c r="M183" s="4"/>
      <c r="N183" s="2"/>
      <c r="O183" s="5"/>
      <c r="P183" s="25"/>
      <c r="Q183" s="2"/>
      <c r="R183" s="26"/>
      <c r="S183" s="27"/>
      <c r="T183" s="2"/>
      <c r="U183" s="28"/>
      <c r="V183" s="25"/>
      <c r="W183" s="2"/>
      <c r="X183" s="26"/>
      <c r="Y183" s="27"/>
      <c r="Z183" s="2"/>
      <c r="AA183" s="28"/>
      <c r="AB183" s="25"/>
      <c r="AC183" s="2"/>
      <c r="AD183" s="26"/>
      <c r="AE183" s="27"/>
      <c r="AF183" s="2"/>
      <c r="AG183" s="26"/>
    </row>
    <row r="184" spans="1:33" x14ac:dyDescent="0.4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5"/>
      <c r="M184" s="4"/>
      <c r="N184" s="2"/>
      <c r="O184" s="5"/>
      <c r="P184" s="25"/>
      <c r="Q184" s="2"/>
      <c r="R184" s="26"/>
      <c r="S184" s="27"/>
      <c r="T184" s="2"/>
      <c r="U184" s="28"/>
      <c r="V184" s="25"/>
      <c r="W184" s="2"/>
      <c r="X184" s="26"/>
      <c r="Y184" s="27"/>
      <c r="Z184" s="2"/>
      <c r="AA184" s="28"/>
      <c r="AB184" s="25"/>
      <c r="AC184" s="2"/>
      <c r="AD184" s="26"/>
      <c r="AE184" s="27"/>
      <c r="AF184" s="2"/>
      <c r="AG184" s="26"/>
    </row>
    <row r="185" spans="1:33" x14ac:dyDescent="0.4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5"/>
      <c r="M185" s="4"/>
      <c r="N185" s="2"/>
      <c r="O185" s="5"/>
      <c r="P185" s="25"/>
      <c r="Q185" s="2"/>
      <c r="R185" s="26"/>
      <c r="S185" s="27"/>
      <c r="T185" s="2"/>
      <c r="U185" s="28"/>
      <c r="V185" s="25"/>
      <c r="W185" s="2"/>
      <c r="X185" s="26"/>
      <c r="Y185" s="27"/>
      <c r="Z185" s="2"/>
      <c r="AA185" s="28"/>
      <c r="AB185" s="25"/>
      <c r="AC185" s="2"/>
      <c r="AD185" s="26"/>
      <c r="AE185" s="27"/>
      <c r="AF185" s="2"/>
      <c r="AG185" s="26"/>
    </row>
    <row r="186" spans="1:33" x14ac:dyDescent="0.4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5"/>
      <c r="M186" s="4"/>
      <c r="N186" s="2"/>
      <c r="O186" s="5"/>
      <c r="P186" s="25"/>
      <c r="Q186" s="2"/>
      <c r="R186" s="26"/>
      <c r="S186" s="27"/>
      <c r="T186" s="2"/>
      <c r="U186" s="28"/>
      <c r="V186" s="25"/>
      <c r="W186" s="2"/>
      <c r="X186" s="26"/>
      <c r="Y186" s="27"/>
      <c r="Z186" s="2"/>
      <c r="AA186" s="28"/>
      <c r="AB186" s="25"/>
      <c r="AC186" s="2"/>
      <c r="AD186" s="26"/>
      <c r="AE186" s="27"/>
      <c r="AF186" s="2"/>
      <c r="AG186" s="26"/>
    </row>
    <row r="187" spans="1:33" x14ac:dyDescent="0.4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5"/>
      <c r="M187" s="4"/>
      <c r="N187" s="2"/>
      <c r="O187" s="5"/>
      <c r="P187" s="25"/>
      <c r="Q187" s="2"/>
      <c r="R187" s="26"/>
      <c r="S187" s="27"/>
      <c r="T187" s="2"/>
      <c r="U187" s="28"/>
      <c r="V187" s="25"/>
      <c r="W187" s="2"/>
      <c r="X187" s="26"/>
      <c r="Y187" s="27"/>
      <c r="Z187" s="2"/>
      <c r="AA187" s="28"/>
      <c r="AB187" s="25"/>
      <c r="AC187" s="2"/>
      <c r="AD187" s="26"/>
      <c r="AE187" s="27"/>
      <c r="AF187" s="2"/>
      <c r="AG187" s="26"/>
    </row>
    <row r="188" spans="1:33" x14ac:dyDescent="0.4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5"/>
      <c r="M188" s="4"/>
      <c r="N188" s="2"/>
      <c r="O188" s="5"/>
      <c r="P188" s="25"/>
      <c r="Q188" s="2"/>
      <c r="R188" s="26"/>
      <c r="S188" s="27"/>
      <c r="T188" s="2"/>
      <c r="U188" s="28"/>
      <c r="V188" s="25"/>
      <c r="W188" s="2"/>
      <c r="X188" s="26"/>
      <c r="Y188" s="27"/>
      <c r="Z188" s="2"/>
      <c r="AA188" s="28"/>
      <c r="AB188" s="25"/>
      <c r="AC188" s="2"/>
      <c r="AD188" s="26"/>
      <c r="AE188" s="27"/>
      <c r="AF188" s="2"/>
      <c r="AG188" s="26"/>
    </row>
    <row r="189" spans="1:33" x14ac:dyDescent="0.4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5"/>
      <c r="M189" s="4"/>
      <c r="N189" s="2"/>
      <c r="O189" s="5"/>
      <c r="P189" s="25"/>
      <c r="Q189" s="2"/>
      <c r="R189" s="26"/>
      <c r="S189" s="27"/>
      <c r="T189" s="2"/>
      <c r="U189" s="28"/>
      <c r="V189" s="25"/>
      <c r="W189" s="2"/>
      <c r="X189" s="26"/>
      <c r="Y189" s="27"/>
      <c r="Z189" s="2"/>
      <c r="AA189" s="28"/>
      <c r="AB189" s="25"/>
      <c r="AC189" s="2"/>
      <c r="AD189" s="26"/>
      <c r="AE189" s="27"/>
      <c r="AF189" s="2"/>
      <c r="AG189" s="26"/>
    </row>
    <row r="190" spans="1:33" x14ac:dyDescent="0.4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5"/>
      <c r="M190" s="4"/>
      <c r="N190" s="2"/>
      <c r="O190" s="5"/>
      <c r="P190" s="25"/>
      <c r="Q190" s="2"/>
      <c r="R190" s="26"/>
      <c r="S190" s="27"/>
      <c r="T190" s="2"/>
      <c r="U190" s="28"/>
      <c r="V190" s="25"/>
      <c r="W190" s="2"/>
      <c r="X190" s="26"/>
      <c r="Y190" s="27"/>
      <c r="Z190" s="2"/>
      <c r="AA190" s="28"/>
      <c r="AB190" s="25"/>
      <c r="AC190" s="2"/>
      <c r="AD190" s="26"/>
      <c r="AE190" s="27"/>
      <c r="AF190" s="2"/>
      <c r="AG190" s="26"/>
    </row>
    <row r="191" spans="1:33" x14ac:dyDescent="0.4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5"/>
      <c r="M191" s="4"/>
      <c r="N191" s="2"/>
      <c r="O191" s="5"/>
      <c r="P191" s="25"/>
      <c r="Q191" s="2"/>
      <c r="R191" s="26"/>
      <c r="S191" s="27"/>
      <c r="T191" s="2"/>
      <c r="U191" s="28"/>
      <c r="V191" s="25"/>
      <c r="W191" s="2"/>
      <c r="X191" s="26"/>
      <c r="Y191" s="27"/>
      <c r="Z191" s="2"/>
      <c r="AA191" s="28"/>
      <c r="AB191" s="25"/>
      <c r="AC191" s="2"/>
      <c r="AD191" s="26"/>
      <c r="AE191" s="27"/>
      <c r="AF191" s="2"/>
      <c r="AG191" s="26"/>
    </row>
    <row r="192" spans="1:33" x14ac:dyDescent="0.4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5"/>
      <c r="M192" s="4"/>
      <c r="N192" s="2"/>
      <c r="O192" s="5"/>
      <c r="P192" s="25"/>
      <c r="Q192" s="2"/>
      <c r="R192" s="26"/>
      <c r="S192" s="27"/>
      <c r="T192" s="2"/>
      <c r="U192" s="28"/>
      <c r="V192" s="25"/>
      <c r="W192" s="2"/>
      <c r="X192" s="26"/>
      <c r="Y192" s="27"/>
      <c r="Z192" s="2"/>
      <c r="AA192" s="28"/>
      <c r="AB192" s="25"/>
      <c r="AC192" s="2"/>
      <c r="AD192" s="26"/>
      <c r="AE192" s="27"/>
      <c r="AF192" s="2"/>
      <c r="AG192" s="26"/>
    </row>
    <row r="193" spans="1:33" x14ac:dyDescent="0.4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5"/>
      <c r="M193" s="4"/>
      <c r="N193" s="2"/>
      <c r="O193" s="5"/>
      <c r="P193" s="25"/>
      <c r="Q193" s="2"/>
      <c r="R193" s="26"/>
      <c r="S193" s="27"/>
      <c r="T193" s="2"/>
      <c r="U193" s="28"/>
      <c r="V193" s="25"/>
      <c r="W193" s="2"/>
      <c r="X193" s="26"/>
      <c r="Y193" s="27"/>
      <c r="Z193" s="2"/>
      <c r="AA193" s="28"/>
      <c r="AB193" s="25"/>
      <c r="AC193" s="2"/>
      <c r="AD193" s="26"/>
      <c r="AE193" s="27"/>
      <c r="AF193" s="2"/>
      <c r="AG193" s="26"/>
    </row>
    <row r="194" spans="1:33" x14ac:dyDescent="0.4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5"/>
      <c r="M194" s="4"/>
      <c r="N194" s="2"/>
      <c r="O194" s="5"/>
      <c r="P194" s="25"/>
      <c r="Q194" s="2"/>
      <c r="R194" s="26"/>
      <c r="S194" s="27"/>
      <c r="T194" s="2"/>
      <c r="U194" s="28"/>
      <c r="V194" s="25"/>
      <c r="W194" s="2"/>
      <c r="X194" s="26"/>
      <c r="Y194" s="27"/>
      <c r="Z194" s="2"/>
      <c r="AA194" s="28"/>
      <c r="AB194" s="25"/>
      <c r="AC194" s="2"/>
      <c r="AD194" s="26"/>
      <c r="AE194" s="27"/>
      <c r="AF194" s="2"/>
      <c r="AG194" s="26"/>
    </row>
    <row r="195" spans="1:33" x14ac:dyDescent="0.4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5"/>
      <c r="M195" s="4"/>
      <c r="N195" s="2"/>
      <c r="O195" s="5"/>
      <c r="P195" s="25"/>
      <c r="Q195" s="2"/>
      <c r="R195" s="26"/>
      <c r="S195" s="27"/>
      <c r="T195" s="2"/>
      <c r="U195" s="28"/>
      <c r="V195" s="25"/>
      <c r="W195" s="2"/>
      <c r="X195" s="26"/>
      <c r="Y195" s="27"/>
      <c r="Z195" s="2"/>
      <c r="AA195" s="28"/>
      <c r="AB195" s="25"/>
      <c r="AC195" s="2"/>
      <c r="AD195" s="26"/>
      <c r="AE195" s="27"/>
      <c r="AF195" s="2"/>
      <c r="AG195" s="26"/>
    </row>
    <row r="196" spans="1:33" x14ac:dyDescent="0.4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5"/>
      <c r="M196" s="4"/>
      <c r="N196" s="2"/>
      <c r="O196" s="5"/>
      <c r="P196" s="25"/>
      <c r="Q196" s="2"/>
      <c r="R196" s="26"/>
      <c r="S196" s="27"/>
      <c r="T196" s="2"/>
      <c r="U196" s="28"/>
      <c r="V196" s="25"/>
      <c r="W196" s="2"/>
      <c r="X196" s="26"/>
      <c r="Y196" s="27"/>
      <c r="Z196" s="2"/>
      <c r="AA196" s="28"/>
      <c r="AB196" s="25"/>
      <c r="AC196" s="2"/>
      <c r="AD196" s="26"/>
      <c r="AE196" s="27"/>
      <c r="AF196" s="2"/>
      <c r="AG196" s="26"/>
    </row>
    <row r="197" spans="1:33" x14ac:dyDescent="0.4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5"/>
      <c r="M197" s="4"/>
      <c r="N197" s="2"/>
      <c r="O197" s="5"/>
      <c r="P197" s="25"/>
      <c r="Q197" s="2"/>
      <c r="R197" s="26"/>
      <c r="S197" s="27"/>
      <c r="T197" s="2"/>
      <c r="U197" s="28"/>
      <c r="V197" s="25"/>
      <c r="W197" s="2"/>
      <c r="X197" s="26"/>
      <c r="Y197" s="27"/>
      <c r="Z197" s="2"/>
      <c r="AA197" s="28"/>
      <c r="AB197" s="25"/>
      <c r="AC197" s="2"/>
      <c r="AD197" s="26"/>
      <c r="AE197" s="27"/>
      <c r="AF197" s="2"/>
      <c r="AG197" s="26"/>
    </row>
    <row r="198" spans="1:33" x14ac:dyDescent="0.4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5"/>
      <c r="M198" s="4"/>
      <c r="N198" s="2"/>
      <c r="O198" s="5"/>
      <c r="P198" s="25"/>
      <c r="Q198" s="2"/>
      <c r="R198" s="26"/>
      <c r="S198" s="27"/>
      <c r="T198" s="2"/>
      <c r="U198" s="28"/>
      <c r="V198" s="25"/>
      <c r="W198" s="2"/>
      <c r="X198" s="26"/>
      <c r="Y198" s="27"/>
      <c r="Z198" s="2"/>
      <c r="AA198" s="28"/>
      <c r="AB198" s="25"/>
      <c r="AC198" s="2"/>
      <c r="AD198" s="26"/>
      <c r="AE198" s="27"/>
      <c r="AF198" s="2"/>
      <c r="AG198" s="26"/>
    </row>
    <row r="199" spans="1:33" x14ac:dyDescent="0.4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5"/>
      <c r="M199" s="4"/>
      <c r="N199" s="2"/>
      <c r="O199" s="5"/>
      <c r="P199" s="25"/>
      <c r="Q199" s="2"/>
      <c r="R199" s="26"/>
      <c r="S199" s="27"/>
      <c r="T199" s="2"/>
      <c r="U199" s="28"/>
      <c r="V199" s="25"/>
      <c r="W199" s="2"/>
      <c r="X199" s="26"/>
      <c r="Y199" s="27"/>
      <c r="Z199" s="2"/>
      <c r="AA199" s="28"/>
      <c r="AB199" s="25"/>
      <c r="AC199" s="2"/>
      <c r="AD199" s="26"/>
      <c r="AE199" s="27"/>
      <c r="AF199" s="2"/>
      <c r="AG199" s="26"/>
    </row>
    <row r="200" spans="1:33" x14ac:dyDescent="0.4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5"/>
      <c r="M200" s="4"/>
      <c r="N200" s="2"/>
      <c r="O200" s="5"/>
      <c r="P200" s="25"/>
      <c r="Q200" s="2"/>
      <c r="R200" s="26"/>
      <c r="S200" s="27"/>
      <c r="T200" s="2"/>
      <c r="U200" s="28"/>
      <c r="V200" s="25"/>
      <c r="W200" s="2"/>
      <c r="X200" s="26"/>
      <c r="Y200" s="27"/>
      <c r="Z200" s="2"/>
      <c r="AA200" s="28"/>
      <c r="AB200" s="25"/>
      <c r="AC200" s="2"/>
      <c r="AD200" s="26"/>
      <c r="AE200" s="27"/>
      <c r="AF200" s="2"/>
      <c r="AG200" s="26"/>
    </row>
    <row r="201" spans="1:33" x14ac:dyDescent="0.4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5"/>
      <c r="M201" s="4"/>
      <c r="N201" s="2"/>
      <c r="O201" s="5"/>
      <c r="P201" s="25"/>
      <c r="Q201" s="2"/>
      <c r="R201" s="26"/>
      <c r="S201" s="27"/>
      <c r="T201" s="2"/>
      <c r="U201" s="28"/>
      <c r="V201" s="25"/>
      <c r="W201" s="2"/>
      <c r="X201" s="26"/>
      <c r="Y201" s="27"/>
      <c r="Z201" s="2"/>
      <c r="AA201" s="28"/>
      <c r="AB201" s="25"/>
      <c r="AC201" s="2"/>
      <c r="AD201" s="26"/>
      <c r="AE201" s="27"/>
      <c r="AF201" s="2"/>
      <c r="AG201" s="26"/>
    </row>
    <row r="202" spans="1:33" x14ac:dyDescent="0.4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5"/>
      <c r="M202" s="4"/>
      <c r="N202" s="2"/>
      <c r="O202" s="5"/>
      <c r="P202" s="25"/>
      <c r="Q202" s="2"/>
      <c r="R202" s="26"/>
      <c r="S202" s="27"/>
      <c r="T202" s="2"/>
      <c r="U202" s="28"/>
      <c r="V202" s="25"/>
      <c r="W202" s="2"/>
      <c r="X202" s="26"/>
      <c r="Y202" s="27"/>
      <c r="Z202" s="2"/>
      <c r="AA202" s="28"/>
      <c r="AB202" s="25"/>
      <c r="AC202" s="2"/>
      <c r="AD202" s="26"/>
      <c r="AE202" s="27"/>
      <c r="AF202" s="2"/>
      <c r="AG202" s="26"/>
    </row>
    <row r="203" spans="1:33" x14ac:dyDescent="0.4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5"/>
      <c r="M203" s="4"/>
      <c r="N203" s="2"/>
      <c r="O203" s="5"/>
      <c r="P203" s="25"/>
      <c r="Q203" s="2"/>
      <c r="R203" s="26"/>
      <c r="S203" s="27"/>
      <c r="T203" s="2"/>
      <c r="U203" s="28"/>
      <c r="V203" s="25"/>
      <c r="W203" s="2"/>
      <c r="X203" s="26"/>
      <c r="Y203" s="27"/>
      <c r="Z203" s="2"/>
      <c r="AA203" s="28"/>
      <c r="AB203" s="25"/>
      <c r="AC203" s="2"/>
      <c r="AD203" s="26"/>
      <c r="AE203" s="27"/>
      <c r="AF203" s="2"/>
      <c r="AG203" s="26"/>
    </row>
    <row r="204" spans="1:33" x14ac:dyDescent="0.4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5"/>
      <c r="M204" s="4"/>
      <c r="N204" s="2"/>
      <c r="O204" s="5"/>
      <c r="P204" s="25"/>
      <c r="Q204" s="2"/>
      <c r="R204" s="26"/>
      <c r="S204" s="27"/>
      <c r="T204" s="2"/>
      <c r="U204" s="28"/>
      <c r="V204" s="25"/>
      <c r="W204" s="2"/>
      <c r="X204" s="26"/>
      <c r="Y204" s="27"/>
      <c r="Z204" s="2"/>
      <c r="AA204" s="28"/>
      <c r="AB204" s="25"/>
      <c r="AC204" s="2"/>
      <c r="AD204" s="26"/>
      <c r="AE204" s="27"/>
      <c r="AF204" s="2"/>
      <c r="AG204" s="26"/>
    </row>
    <row r="205" spans="1:33" x14ac:dyDescent="0.4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5"/>
      <c r="M205" s="4"/>
      <c r="N205" s="2"/>
      <c r="O205" s="5"/>
      <c r="P205" s="25"/>
      <c r="Q205" s="2"/>
      <c r="R205" s="26"/>
      <c r="S205" s="27"/>
      <c r="T205" s="2"/>
      <c r="U205" s="28"/>
      <c r="V205" s="25"/>
      <c r="W205" s="2"/>
      <c r="X205" s="26"/>
      <c r="Y205" s="27"/>
      <c r="Z205" s="2"/>
      <c r="AA205" s="28"/>
      <c r="AB205" s="25"/>
      <c r="AC205" s="2"/>
      <c r="AD205" s="26"/>
      <c r="AE205" s="27"/>
      <c r="AF205" s="2"/>
      <c r="AG205" s="26"/>
    </row>
    <row r="206" spans="1:33" x14ac:dyDescent="0.4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5"/>
      <c r="M206" s="4"/>
      <c r="N206" s="2"/>
      <c r="O206" s="5"/>
      <c r="P206" s="25"/>
      <c r="Q206" s="2"/>
      <c r="R206" s="26"/>
      <c r="S206" s="27"/>
      <c r="T206" s="2"/>
      <c r="U206" s="28"/>
      <c r="V206" s="25"/>
      <c r="W206" s="2"/>
      <c r="X206" s="26"/>
      <c r="Y206" s="27"/>
      <c r="Z206" s="2"/>
      <c r="AA206" s="28"/>
      <c r="AB206" s="25"/>
      <c r="AC206" s="2"/>
      <c r="AD206" s="26"/>
      <c r="AE206" s="27"/>
      <c r="AF206" s="2"/>
      <c r="AG206" s="26"/>
    </row>
    <row r="207" spans="1:33" x14ac:dyDescent="0.4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5"/>
      <c r="M207" s="4"/>
      <c r="N207" s="2"/>
      <c r="O207" s="5"/>
      <c r="P207" s="25"/>
      <c r="Q207" s="2"/>
      <c r="R207" s="26"/>
      <c r="S207" s="27"/>
      <c r="T207" s="2"/>
      <c r="U207" s="28"/>
      <c r="V207" s="25"/>
      <c r="W207" s="2"/>
      <c r="X207" s="26"/>
      <c r="Y207" s="27"/>
      <c r="Z207" s="2"/>
      <c r="AA207" s="28"/>
      <c r="AB207" s="25"/>
      <c r="AC207" s="2"/>
      <c r="AD207" s="26"/>
      <c r="AE207" s="27"/>
      <c r="AF207" s="2"/>
      <c r="AG207" s="26"/>
    </row>
    <row r="208" spans="1:33" x14ac:dyDescent="0.4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5"/>
      <c r="M208" s="4"/>
      <c r="N208" s="2"/>
      <c r="O208" s="5"/>
      <c r="P208" s="25"/>
      <c r="Q208" s="2"/>
      <c r="R208" s="26"/>
      <c r="S208" s="27"/>
      <c r="T208" s="2"/>
      <c r="U208" s="28"/>
      <c r="V208" s="25"/>
      <c r="W208" s="2"/>
      <c r="X208" s="26"/>
      <c r="Y208" s="27"/>
      <c r="Z208" s="2"/>
      <c r="AA208" s="28"/>
      <c r="AB208" s="25"/>
      <c r="AC208" s="2"/>
      <c r="AD208" s="26"/>
      <c r="AE208" s="27"/>
      <c r="AF208" s="2"/>
      <c r="AG208" s="26"/>
    </row>
    <row r="209" spans="1:33" x14ac:dyDescent="0.4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5"/>
      <c r="M209" s="4"/>
      <c r="N209" s="2"/>
      <c r="O209" s="5"/>
      <c r="P209" s="25"/>
      <c r="Q209" s="2"/>
      <c r="R209" s="26"/>
      <c r="S209" s="27"/>
      <c r="T209" s="2"/>
      <c r="U209" s="28"/>
      <c r="V209" s="25"/>
      <c r="W209" s="2"/>
      <c r="X209" s="26"/>
      <c r="Y209" s="27"/>
      <c r="Z209" s="2"/>
      <c r="AA209" s="28"/>
      <c r="AB209" s="25"/>
      <c r="AC209" s="2"/>
      <c r="AD209" s="26"/>
      <c r="AE209" s="27"/>
      <c r="AF209" s="2"/>
      <c r="AG209" s="26"/>
    </row>
    <row r="210" spans="1:33" x14ac:dyDescent="0.4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5"/>
      <c r="M210" s="4"/>
      <c r="N210" s="2"/>
      <c r="O210" s="5"/>
      <c r="P210" s="25"/>
      <c r="Q210" s="2"/>
      <c r="R210" s="26"/>
      <c r="S210" s="27"/>
      <c r="T210" s="2"/>
      <c r="U210" s="28"/>
      <c r="V210" s="25"/>
      <c r="W210" s="2"/>
      <c r="X210" s="26"/>
      <c r="Y210" s="27"/>
      <c r="Z210" s="2"/>
      <c r="AA210" s="28"/>
      <c r="AB210" s="25"/>
      <c r="AC210" s="2"/>
      <c r="AD210" s="26"/>
      <c r="AE210" s="27"/>
      <c r="AF210" s="2"/>
      <c r="AG210" s="26"/>
    </row>
    <row r="211" spans="1:33" x14ac:dyDescent="0.4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5"/>
      <c r="M211" s="4"/>
      <c r="N211" s="2"/>
      <c r="O211" s="5"/>
      <c r="P211" s="25"/>
      <c r="Q211" s="2"/>
      <c r="R211" s="26"/>
      <c r="S211" s="27"/>
      <c r="T211" s="2"/>
      <c r="U211" s="28"/>
      <c r="V211" s="25"/>
      <c r="W211" s="2"/>
      <c r="X211" s="26"/>
      <c r="Y211" s="27"/>
      <c r="Z211" s="2"/>
      <c r="AA211" s="28"/>
      <c r="AB211" s="25"/>
      <c r="AC211" s="2"/>
      <c r="AD211" s="26"/>
      <c r="AE211" s="27"/>
      <c r="AF211" s="2"/>
      <c r="AG211" s="26"/>
    </row>
    <row r="212" spans="1:33" x14ac:dyDescent="0.4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5"/>
      <c r="M212" s="4"/>
      <c r="N212" s="2"/>
      <c r="O212" s="5"/>
      <c r="P212" s="25"/>
      <c r="Q212" s="2"/>
      <c r="R212" s="26"/>
      <c r="S212" s="27"/>
      <c r="T212" s="2"/>
      <c r="U212" s="28"/>
      <c r="V212" s="25"/>
      <c r="W212" s="2"/>
      <c r="X212" s="26"/>
      <c r="Y212" s="27"/>
      <c r="Z212" s="2"/>
      <c r="AA212" s="28"/>
      <c r="AB212" s="25"/>
      <c r="AC212" s="2"/>
      <c r="AD212" s="26"/>
      <c r="AE212" s="27"/>
      <c r="AF212" s="2"/>
      <c r="AG212" s="26"/>
    </row>
    <row r="213" spans="1:33" x14ac:dyDescent="0.4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5"/>
      <c r="M213" s="4"/>
      <c r="N213" s="2"/>
      <c r="O213" s="5"/>
      <c r="P213" s="25"/>
      <c r="Q213" s="2"/>
      <c r="R213" s="26"/>
      <c r="S213" s="27"/>
      <c r="T213" s="2"/>
      <c r="U213" s="28"/>
      <c r="V213" s="25"/>
      <c r="W213" s="2"/>
      <c r="X213" s="26"/>
      <c r="Y213" s="27"/>
      <c r="Z213" s="2"/>
      <c r="AA213" s="28"/>
      <c r="AB213" s="25"/>
      <c r="AC213" s="2"/>
      <c r="AD213" s="26"/>
      <c r="AE213" s="27"/>
      <c r="AF213" s="2"/>
      <c r="AG213" s="26"/>
    </row>
    <row r="214" spans="1:33" x14ac:dyDescent="0.4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5"/>
      <c r="M214" s="4"/>
      <c r="N214" s="2"/>
      <c r="O214" s="5"/>
      <c r="P214" s="25"/>
      <c r="Q214" s="2"/>
      <c r="R214" s="26"/>
      <c r="S214" s="27"/>
      <c r="T214" s="2"/>
      <c r="U214" s="28"/>
      <c r="V214" s="25"/>
      <c r="W214" s="2"/>
      <c r="X214" s="26"/>
      <c r="Y214" s="27"/>
      <c r="Z214" s="2"/>
      <c r="AA214" s="28"/>
      <c r="AB214" s="25"/>
      <c r="AC214" s="2"/>
      <c r="AD214" s="26"/>
      <c r="AE214" s="27"/>
      <c r="AF214" s="2"/>
      <c r="AG214" s="26"/>
    </row>
    <row r="215" spans="1:33" x14ac:dyDescent="0.4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5"/>
      <c r="M215" s="4"/>
      <c r="N215" s="2"/>
      <c r="O215" s="5"/>
      <c r="P215" s="25"/>
      <c r="Q215" s="2"/>
      <c r="R215" s="26"/>
      <c r="S215" s="27"/>
      <c r="T215" s="2"/>
      <c r="U215" s="28"/>
      <c r="V215" s="25"/>
      <c r="W215" s="2"/>
      <c r="X215" s="26"/>
      <c r="Y215" s="27"/>
      <c r="Z215" s="2"/>
      <c r="AA215" s="28"/>
      <c r="AB215" s="25"/>
      <c r="AC215" s="2"/>
      <c r="AD215" s="26"/>
      <c r="AE215" s="27"/>
      <c r="AF215" s="2"/>
      <c r="AG215" s="26"/>
    </row>
    <row r="216" spans="1:33" x14ac:dyDescent="0.4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5"/>
      <c r="M216" s="4"/>
      <c r="N216" s="2"/>
      <c r="O216" s="5"/>
      <c r="P216" s="25"/>
      <c r="Q216" s="2"/>
      <c r="R216" s="26"/>
      <c r="S216" s="27"/>
      <c r="T216" s="2"/>
      <c r="U216" s="28"/>
      <c r="V216" s="25"/>
      <c r="W216" s="2"/>
      <c r="X216" s="26"/>
      <c r="Y216" s="27"/>
      <c r="Z216" s="2"/>
      <c r="AA216" s="28"/>
      <c r="AB216" s="25"/>
      <c r="AC216" s="2"/>
      <c r="AD216" s="26"/>
      <c r="AE216" s="27"/>
      <c r="AF216" s="2"/>
      <c r="AG216" s="26"/>
    </row>
    <row r="217" spans="1:33" x14ac:dyDescent="0.4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5"/>
      <c r="M217" s="4"/>
      <c r="N217" s="2"/>
      <c r="O217" s="5"/>
      <c r="P217" s="25"/>
      <c r="Q217" s="2"/>
      <c r="R217" s="26"/>
      <c r="S217" s="27"/>
      <c r="T217" s="2"/>
      <c r="U217" s="28"/>
      <c r="V217" s="25"/>
      <c r="W217" s="2"/>
      <c r="X217" s="26"/>
      <c r="Y217" s="27"/>
      <c r="Z217" s="2"/>
      <c r="AA217" s="28"/>
      <c r="AB217" s="25"/>
      <c r="AC217" s="2"/>
      <c r="AD217" s="26"/>
      <c r="AE217" s="27"/>
      <c r="AF217" s="2"/>
      <c r="AG217" s="26"/>
    </row>
    <row r="218" spans="1:33" x14ac:dyDescent="0.4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5"/>
      <c r="M218" s="4"/>
      <c r="N218" s="2"/>
      <c r="O218" s="5"/>
      <c r="P218" s="25"/>
      <c r="Q218" s="2"/>
      <c r="R218" s="26"/>
      <c r="S218" s="27"/>
      <c r="T218" s="2"/>
      <c r="U218" s="28"/>
      <c r="V218" s="25"/>
      <c r="W218" s="2"/>
      <c r="X218" s="26"/>
      <c r="Y218" s="27"/>
      <c r="Z218" s="2"/>
      <c r="AA218" s="28"/>
      <c r="AB218" s="25"/>
      <c r="AC218" s="2"/>
      <c r="AD218" s="26"/>
      <c r="AE218" s="27"/>
      <c r="AF218" s="2"/>
      <c r="AG218" s="26"/>
    </row>
    <row r="219" spans="1:33" x14ac:dyDescent="0.4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5"/>
      <c r="M219" s="4"/>
      <c r="N219" s="2"/>
      <c r="O219" s="5"/>
      <c r="P219" s="25"/>
      <c r="Q219" s="2"/>
      <c r="R219" s="26"/>
      <c r="S219" s="27"/>
      <c r="T219" s="2"/>
      <c r="U219" s="28"/>
      <c r="V219" s="25"/>
      <c r="W219" s="2"/>
      <c r="X219" s="26"/>
      <c r="Y219" s="27"/>
      <c r="Z219" s="2"/>
      <c r="AA219" s="28"/>
      <c r="AB219" s="25"/>
      <c r="AC219" s="2"/>
      <c r="AD219" s="26"/>
      <c r="AE219" s="27"/>
      <c r="AF219" s="2"/>
      <c r="AG219" s="26"/>
    </row>
    <row r="220" spans="1:33" x14ac:dyDescent="0.4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5"/>
      <c r="M220" s="4"/>
      <c r="N220" s="2"/>
      <c r="O220" s="5"/>
      <c r="P220" s="25"/>
      <c r="Q220" s="2"/>
      <c r="R220" s="26"/>
      <c r="S220" s="27"/>
      <c r="T220" s="2"/>
      <c r="U220" s="28"/>
      <c r="V220" s="25"/>
      <c r="W220" s="2"/>
      <c r="X220" s="26"/>
      <c r="Y220" s="27"/>
      <c r="Z220" s="2"/>
      <c r="AA220" s="28"/>
      <c r="AB220" s="25"/>
      <c r="AC220" s="2"/>
      <c r="AD220" s="26"/>
      <c r="AE220" s="27"/>
      <c r="AF220" s="2"/>
      <c r="AG220" s="26"/>
    </row>
    <row r="221" spans="1:33" x14ac:dyDescent="0.4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5"/>
      <c r="M221" s="4"/>
      <c r="N221" s="2"/>
      <c r="O221" s="5"/>
      <c r="P221" s="25"/>
      <c r="Q221" s="2"/>
      <c r="R221" s="26"/>
      <c r="S221" s="27"/>
      <c r="T221" s="2"/>
      <c r="U221" s="28"/>
      <c r="V221" s="25"/>
      <c r="W221" s="2"/>
      <c r="X221" s="26"/>
      <c r="Y221" s="27"/>
      <c r="Z221" s="2"/>
      <c r="AA221" s="28"/>
      <c r="AB221" s="25"/>
      <c r="AC221" s="2"/>
      <c r="AD221" s="26"/>
      <c r="AE221" s="27"/>
      <c r="AF221" s="2"/>
      <c r="AG221" s="26"/>
    </row>
    <row r="222" spans="1:33" ht="18" thickBot="1" x14ac:dyDescent="0.45">
      <c r="A222" s="4"/>
      <c r="B222" s="2"/>
      <c r="C222" s="2"/>
      <c r="D222" s="2"/>
      <c r="E222" s="2"/>
      <c r="F222" s="9"/>
      <c r="G222" s="9"/>
      <c r="H222" s="9"/>
      <c r="I222" s="9"/>
      <c r="J222" s="9"/>
      <c r="K222" s="9"/>
      <c r="L222" s="10"/>
      <c r="M222" s="4"/>
      <c r="N222" s="2"/>
      <c r="O222" s="5"/>
      <c r="P222" s="25"/>
      <c r="Q222" s="2"/>
      <c r="R222" s="26"/>
      <c r="S222" s="27"/>
      <c r="T222" s="2"/>
      <c r="U222" s="28"/>
      <c r="V222" s="25"/>
      <c r="W222" s="2"/>
      <c r="X222" s="26"/>
      <c r="Y222" s="27"/>
      <c r="Z222" s="2"/>
      <c r="AA222" s="28"/>
      <c r="AB222" s="25"/>
      <c r="AC222" s="2"/>
      <c r="AD222" s="26"/>
      <c r="AE222" s="27"/>
      <c r="AF222" s="2"/>
      <c r="AG222" s="26"/>
    </row>
    <row r="223" spans="1:33" x14ac:dyDescent="0.4">
      <c r="A223" s="4"/>
      <c r="B223" s="2"/>
      <c r="C223" s="2"/>
      <c r="D223" s="2"/>
      <c r="E223" s="2"/>
      <c r="M223" s="4"/>
      <c r="N223" s="2"/>
      <c r="O223" s="5"/>
      <c r="P223" s="25"/>
      <c r="Q223" s="2"/>
      <c r="R223" s="26"/>
      <c r="S223" s="27"/>
      <c r="T223" s="2"/>
      <c r="U223" s="28"/>
      <c r="V223" s="25"/>
      <c r="W223" s="2"/>
      <c r="X223" s="26"/>
      <c r="Y223" s="27"/>
      <c r="Z223" s="2"/>
      <c r="AA223" s="28"/>
      <c r="AB223" s="25"/>
      <c r="AC223" s="2"/>
      <c r="AD223" s="26"/>
      <c r="AE223" s="27"/>
      <c r="AF223" s="2"/>
      <c r="AG223" s="26"/>
    </row>
    <row r="224" spans="1:33" x14ac:dyDescent="0.4">
      <c r="A224" s="4"/>
      <c r="B224" s="2"/>
      <c r="C224" s="2"/>
      <c r="D224" s="2"/>
      <c r="E224" s="2"/>
      <c r="M224" s="4"/>
      <c r="N224" s="2"/>
      <c r="O224" s="5"/>
      <c r="P224" s="25"/>
      <c r="Q224" s="2"/>
      <c r="R224" s="26"/>
      <c r="S224" s="27"/>
      <c r="T224" s="2"/>
      <c r="U224" s="28"/>
      <c r="V224" s="25"/>
      <c r="W224" s="2"/>
      <c r="X224" s="26"/>
      <c r="Y224" s="27"/>
      <c r="Z224" s="2"/>
      <c r="AA224" s="28"/>
      <c r="AB224" s="25"/>
      <c r="AC224" s="2"/>
      <c r="AD224" s="26"/>
      <c r="AE224" s="27"/>
      <c r="AF224" s="2"/>
      <c r="AG224" s="26"/>
    </row>
    <row r="225" spans="1:33" x14ac:dyDescent="0.4">
      <c r="A225" s="4"/>
      <c r="B225" s="2"/>
      <c r="C225" s="2"/>
      <c r="D225" s="2"/>
      <c r="E225" s="2"/>
      <c r="M225" s="4"/>
      <c r="N225" s="2"/>
      <c r="O225" s="5"/>
      <c r="P225" s="25"/>
      <c r="Q225" s="2"/>
      <c r="R225" s="26"/>
      <c r="S225" s="27"/>
      <c r="T225" s="2"/>
      <c r="U225" s="28"/>
      <c r="V225" s="25"/>
      <c r="W225" s="2"/>
      <c r="X225" s="26"/>
      <c r="Y225" s="27"/>
      <c r="Z225" s="2"/>
      <c r="AA225" s="28"/>
      <c r="AB225" s="25"/>
      <c r="AC225" s="2"/>
      <c r="AD225" s="26"/>
      <c r="AE225" s="27"/>
      <c r="AF225" s="2"/>
      <c r="AG225" s="26"/>
    </row>
    <row r="226" spans="1:33" x14ac:dyDescent="0.4">
      <c r="A226" s="4"/>
      <c r="B226" s="2"/>
      <c r="C226" s="2"/>
      <c r="D226" s="2"/>
      <c r="E226" s="2"/>
      <c r="M226" s="4"/>
      <c r="N226" s="2"/>
      <c r="O226" s="5"/>
      <c r="P226" s="25"/>
      <c r="Q226" s="2"/>
      <c r="R226" s="26"/>
      <c r="S226" s="27"/>
      <c r="T226" s="2"/>
      <c r="U226" s="28"/>
      <c r="V226" s="25"/>
      <c r="W226" s="2"/>
      <c r="X226" s="26"/>
      <c r="Y226" s="27"/>
      <c r="Z226" s="2"/>
      <c r="AA226" s="28"/>
      <c r="AB226" s="25"/>
      <c r="AC226" s="2"/>
      <c r="AD226" s="26"/>
      <c r="AE226" s="27"/>
      <c r="AF226" s="2"/>
      <c r="AG226" s="26"/>
    </row>
    <row r="227" spans="1:33" x14ac:dyDescent="0.4">
      <c r="A227" s="4"/>
      <c r="B227" s="2"/>
      <c r="C227" s="2"/>
      <c r="D227" s="2"/>
      <c r="E227" s="2"/>
      <c r="M227" s="4"/>
      <c r="N227" s="2"/>
      <c r="O227" s="5"/>
      <c r="P227" s="25"/>
      <c r="Q227" s="2"/>
      <c r="R227" s="26"/>
      <c r="S227" s="27"/>
      <c r="T227" s="2"/>
      <c r="U227" s="28"/>
      <c r="V227" s="25"/>
      <c r="W227" s="2"/>
      <c r="X227" s="26"/>
      <c r="Y227" s="27"/>
      <c r="Z227" s="2"/>
      <c r="AA227" s="28"/>
      <c r="AB227" s="25"/>
      <c r="AC227" s="2"/>
      <c r="AD227" s="26"/>
      <c r="AE227" s="27"/>
      <c r="AF227" s="2"/>
      <c r="AG227" s="26"/>
    </row>
    <row r="228" spans="1:33" x14ac:dyDescent="0.4">
      <c r="A228" s="4"/>
      <c r="B228" s="2"/>
      <c r="C228" s="2"/>
      <c r="D228" s="2"/>
      <c r="E228" s="2"/>
      <c r="M228" s="4"/>
      <c r="N228" s="2"/>
      <c r="O228" s="5"/>
      <c r="P228" s="25"/>
      <c r="Q228" s="2"/>
      <c r="R228" s="26"/>
      <c r="S228" s="27"/>
      <c r="T228" s="2"/>
      <c r="U228" s="28"/>
      <c r="V228" s="25"/>
      <c r="W228" s="2"/>
      <c r="X228" s="26"/>
      <c r="Y228" s="27"/>
      <c r="Z228" s="2"/>
      <c r="AA228" s="28"/>
      <c r="AB228" s="25"/>
      <c r="AC228" s="2"/>
      <c r="AD228" s="26"/>
      <c r="AE228" s="27"/>
      <c r="AF228" s="2"/>
      <c r="AG228" s="26"/>
    </row>
    <row r="229" spans="1:33" x14ac:dyDescent="0.4">
      <c r="A229" s="4"/>
      <c r="B229" s="2"/>
      <c r="C229" s="2"/>
      <c r="D229" s="2"/>
      <c r="E229" s="2"/>
      <c r="M229" s="4"/>
      <c r="N229" s="2"/>
      <c r="O229" s="5"/>
      <c r="P229" s="25"/>
      <c r="Q229" s="2"/>
      <c r="R229" s="26"/>
      <c r="S229" s="27"/>
      <c r="T229" s="2"/>
      <c r="U229" s="28"/>
      <c r="V229" s="25"/>
      <c r="W229" s="2"/>
      <c r="X229" s="26"/>
      <c r="Y229" s="27"/>
      <c r="Z229" s="2"/>
      <c r="AA229" s="28"/>
      <c r="AB229" s="25"/>
      <c r="AC229" s="2"/>
      <c r="AD229" s="26"/>
      <c r="AE229" s="27"/>
      <c r="AF229" s="2"/>
      <c r="AG229" s="26"/>
    </row>
    <row r="230" spans="1:33" x14ac:dyDescent="0.4">
      <c r="A230" s="4"/>
      <c r="B230" s="2"/>
      <c r="C230" s="2"/>
      <c r="D230" s="2"/>
      <c r="E230" s="2"/>
      <c r="M230" s="4"/>
      <c r="N230" s="2"/>
      <c r="O230" s="5"/>
      <c r="P230" s="25"/>
      <c r="Q230" s="2"/>
      <c r="R230" s="26"/>
      <c r="S230" s="27"/>
      <c r="T230" s="2"/>
      <c r="U230" s="28"/>
      <c r="V230" s="25"/>
      <c r="W230" s="2"/>
      <c r="X230" s="26"/>
      <c r="Y230" s="27"/>
      <c r="Z230" s="2"/>
      <c r="AA230" s="28"/>
      <c r="AB230" s="25"/>
      <c r="AC230" s="2"/>
      <c r="AD230" s="26"/>
      <c r="AE230" s="27"/>
      <c r="AF230" s="2"/>
      <c r="AG230" s="26"/>
    </row>
    <row r="231" spans="1:33" x14ac:dyDescent="0.4">
      <c r="A231" s="4"/>
      <c r="B231" s="2"/>
      <c r="C231" s="2"/>
      <c r="D231" s="2"/>
      <c r="E231" s="2"/>
      <c r="M231" s="4"/>
      <c r="N231" s="2"/>
      <c r="O231" s="5"/>
      <c r="P231" s="25"/>
      <c r="Q231" s="2"/>
      <c r="R231" s="26"/>
      <c r="S231" s="27"/>
      <c r="T231" s="2"/>
      <c r="U231" s="28"/>
      <c r="V231" s="25"/>
      <c r="W231" s="2"/>
      <c r="X231" s="26"/>
      <c r="Y231" s="27"/>
      <c r="Z231" s="2"/>
      <c r="AA231" s="28"/>
      <c r="AB231" s="25"/>
      <c r="AC231" s="2"/>
      <c r="AD231" s="26"/>
      <c r="AE231" s="27"/>
      <c r="AF231" s="2"/>
      <c r="AG231" s="26"/>
    </row>
    <row r="232" spans="1:33" ht="18" thickBot="1" x14ac:dyDescent="0.45">
      <c r="A232" s="8"/>
      <c r="B232" s="9"/>
      <c r="C232" s="9"/>
      <c r="D232" s="9"/>
      <c r="E232" s="9"/>
      <c r="M232" s="8"/>
      <c r="N232" s="9"/>
      <c r="O232" s="10"/>
      <c r="P232" s="41"/>
      <c r="Q232" s="9"/>
      <c r="R232" s="45"/>
      <c r="S232" s="48"/>
      <c r="T232" s="9"/>
      <c r="U232" s="51"/>
      <c r="V232" s="41"/>
      <c r="W232" s="9"/>
      <c r="X232" s="45"/>
      <c r="Y232" s="48"/>
      <c r="Z232" s="9"/>
      <c r="AA232" s="51"/>
      <c r="AB232" s="41"/>
      <c r="AC232" s="9"/>
      <c r="AD232" s="45"/>
      <c r="AE232" s="48"/>
      <c r="AF232" s="9"/>
      <c r="AG232" s="45"/>
    </row>
  </sheetData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28"/>
  <sheetViews>
    <sheetView zoomScale="70" zoomScaleNormal="70" workbookViewId="0">
      <selection activeCell="G34" sqref="G34"/>
    </sheetView>
  </sheetViews>
  <sheetFormatPr defaultRowHeight="17.399999999999999" x14ac:dyDescent="0.4"/>
  <cols>
    <col min="1" max="1" width="5.3984375" bestFit="1" customWidth="1"/>
    <col min="2" max="2" width="9.09765625" bestFit="1" customWidth="1"/>
    <col min="3" max="3" width="14.69921875" customWidth="1"/>
    <col min="4" max="4" width="9.09765625" bestFit="1" customWidth="1"/>
    <col min="5" max="5" width="8.69921875" bestFit="1" customWidth="1"/>
    <col min="6" max="7" width="9.09765625" bestFit="1" customWidth="1"/>
    <col min="8" max="8" width="7.19921875" bestFit="1" customWidth="1"/>
    <col min="9" max="9" width="9.09765625" bestFit="1" customWidth="1"/>
    <col min="10" max="10" width="7.19921875" bestFit="1" customWidth="1"/>
    <col min="11" max="13" width="9.09765625" bestFit="1" customWidth="1"/>
    <col min="14" max="14" width="10.19921875" bestFit="1" customWidth="1"/>
    <col min="15" max="15" width="9.09765625" bestFit="1" customWidth="1"/>
    <col min="16" max="16" width="29.3984375" bestFit="1" customWidth="1"/>
    <col min="17" max="17" width="24.3984375" bestFit="1" customWidth="1"/>
    <col min="18" max="18" width="29.3984375" bestFit="1" customWidth="1"/>
    <col min="19" max="19" width="24.3984375" bestFit="1" customWidth="1"/>
    <col min="20" max="20" width="29.3984375" bestFit="1" customWidth="1"/>
    <col min="21" max="21" width="24.3984375" bestFit="1" customWidth="1"/>
    <col min="22" max="22" width="29.3984375" bestFit="1" customWidth="1"/>
    <col min="23" max="23" width="24.3984375" bestFit="1" customWidth="1"/>
    <col min="24" max="24" width="29.3984375" bestFit="1" customWidth="1"/>
    <col min="25" max="25" width="24.3984375" bestFit="1" customWidth="1"/>
    <col min="26" max="26" width="29.3984375" bestFit="1" customWidth="1"/>
    <col min="27" max="27" width="24.3984375" bestFit="1" customWidth="1"/>
    <col min="28" max="28" width="5.69921875" bestFit="1" customWidth="1"/>
    <col min="29" max="30" width="6.796875" bestFit="1" customWidth="1"/>
  </cols>
  <sheetData>
    <row r="1" spans="1:30" s="61" customFormat="1" ht="18" thickBo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20" t="s">
        <v>39</v>
      </c>
      <c r="G1" s="20" t="s">
        <v>5</v>
      </c>
      <c r="H1" s="16" t="s">
        <v>8</v>
      </c>
      <c r="I1" s="16" t="s">
        <v>6</v>
      </c>
      <c r="J1" s="16" t="s">
        <v>7</v>
      </c>
      <c r="K1" s="16" t="s">
        <v>9</v>
      </c>
      <c r="L1" s="17" t="s">
        <v>10</v>
      </c>
      <c r="M1" s="18" t="s">
        <v>73</v>
      </c>
      <c r="N1" s="16" t="s">
        <v>72</v>
      </c>
      <c r="O1" s="19" t="s">
        <v>75</v>
      </c>
      <c r="P1" s="39" t="s">
        <v>341</v>
      </c>
      <c r="Q1" s="96" t="s">
        <v>330</v>
      </c>
      <c r="R1" s="46" t="s">
        <v>331</v>
      </c>
      <c r="S1" s="39" t="s">
        <v>332</v>
      </c>
      <c r="T1" s="39" t="s">
        <v>333</v>
      </c>
      <c r="U1" s="96" t="s">
        <v>334</v>
      </c>
      <c r="V1" s="46" t="s">
        <v>335</v>
      </c>
      <c r="W1" s="39" t="s">
        <v>336</v>
      </c>
      <c r="X1" s="39" t="s">
        <v>337</v>
      </c>
      <c r="Y1" s="96" t="s">
        <v>338</v>
      </c>
      <c r="Z1" s="46" t="s">
        <v>339</v>
      </c>
      <c r="AA1" s="96" t="s">
        <v>340</v>
      </c>
      <c r="AB1" s="56" t="s">
        <v>312</v>
      </c>
      <c r="AC1" s="59" t="s">
        <v>321</v>
      </c>
      <c r="AD1" s="56" t="s">
        <v>329</v>
      </c>
    </row>
    <row r="2" spans="1:30" s="82" customFormat="1" x14ac:dyDescent="0.2">
      <c r="A2" s="73">
        <v>37</v>
      </c>
      <c r="B2" s="74" t="s">
        <v>78</v>
      </c>
      <c r="C2" s="74" t="s">
        <v>109</v>
      </c>
      <c r="D2" s="74">
        <v>1</v>
      </c>
      <c r="E2" s="74" t="s">
        <v>182</v>
      </c>
      <c r="F2" s="74" t="s">
        <v>41</v>
      </c>
      <c r="G2" s="74">
        <v>270</v>
      </c>
      <c r="H2" s="74" t="s">
        <v>78</v>
      </c>
      <c r="I2" s="74" t="s">
        <v>221</v>
      </c>
      <c r="J2" s="74" t="s">
        <v>78</v>
      </c>
      <c r="K2" s="74" t="s">
        <v>222</v>
      </c>
      <c r="L2" s="75" t="s">
        <v>307</v>
      </c>
      <c r="M2" s="73"/>
      <c r="N2" s="74"/>
      <c r="O2" s="75" t="s">
        <v>304</v>
      </c>
      <c r="P2" s="76">
        <v>117</v>
      </c>
      <c r="Q2" s="107">
        <v>117.6</v>
      </c>
      <c r="R2" s="79">
        <v>125</v>
      </c>
      <c r="S2" s="77">
        <v>126.6</v>
      </c>
      <c r="T2" s="76">
        <v>135</v>
      </c>
      <c r="U2" s="107">
        <v>135.19999999999999</v>
      </c>
      <c r="V2" s="79">
        <v>143</v>
      </c>
      <c r="W2" s="77">
        <v>144.1</v>
      </c>
      <c r="X2" s="76">
        <v>152</v>
      </c>
      <c r="Y2" s="107">
        <v>152.6</v>
      </c>
      <c r="Z2" s="79">
        <v>161</v>
      </c>
      <c r="AA2" s="97">
        <v>161.69999999999999</v>
      </c>
      <c r="AB2" s="82" t="str">
        <f t="shared" ref="AB2:AB21" si="0">IF(AA2="","",LEFT(L2,1))</f>
        <v>U</v>
      </c>
      <c r="AC2" s="83" t="s">
        <v>323</v>
      </c>
      <c r="AD2" s="84" t="str">
        <f t="shared" ref="AD2:AD21" si="1">H2&amp;"-"&amp;O2&amp;"-"&amp;F2&amp;"-"&amp;E2</f>
        <v>2025-03-09-7호방-316LDS1-N33671</v>
      </c>
    </row>
    <row r="3" spans="1:30" s="82" customFormat="1" x14ac:dyDescent="0.4">
      <c r="A3" s="73">
        <v>38</v>
      </c>
      <c r="B3" s="74" t="s">
        <v>78</v>
      </c>
      <c r="C3" s="74" t="s">
        <v>110</v>
      </c>
      <c r="D3" s="74">
        <v>1</v>
      </c>
      <c r="E3" s="74" t="s">
        <v>182</v>
      </c>
      <c r="F3" s="74" t="s">
        <v>41</v>
      </c>
      <c r="G3" s="74">
        <v>270</v>
      </c>
      <c r="H3" s="74" t="s">
        <v>78</v>
      </c>
      <c r="I3" s="74" t="s">
        <v>222</v>
      </c>
      <c r="J3" s="74" t="s">
        <v>78</v>
      </c>
      <c r="K3" s="74" t="s">
        <v>223</v>
      </c>
      <c r="L3" s="75" t="s">
        <v>309</v>
      </c>
      <c r="M3" s="73"/>
      <c r="N3" s="74"/>
      <c r="O3" s="75" t="s">
        <v>304</v>
      </c>
      <c r="P3" s="76">
        <v>109</v>
      </c>
      <c r="Q3" s="107">
        <v>109.8</v>
      </c>
      <c r="R3" s="79">
        <v>117</v>
      </c>
      <c r="S3" s="77">
        <v>118.7</v>
      </c>
      <c r="T3" s="76">
        <v>127</v>
      </c>
      <c r="U3" s="107">
        <v>127.5</v>
      </c>
      <c r="V3" s="79">
        <v>135</v>
      </c>
      <c r="W3" s="77">
        <v>135.69999999999999</v>
      </c>
      <c r="X3" s="76">
        <v>144</v>
      </c>
      <c r="Y3" s="107">
        <v>144.9</v>
      </c>
      <c r="Z3" s="79">
        <v>152</v>
      </c>
      <c r="AA3" s="97">
        <v>153.5</v>
      </c>
      <c r="AB3" s="82" t="str">
        <f t="shared" si="0"/>
        <v>U</v>
      </c>
      <c r="AC3" s="85"/>
      <c r="AD3" s="84" t="str">
        <f t="shared" si="1"/>
        <v>2025-03-09-7호방-316LDS1-N33671</v>
      </c>
    </row>
    <row r="4" spans="1:30" s="82" customFormat="1" x14ac:dyDescent="0.4">
      <c r="A4" s="73">
        <v>39</v>
      </c>
      <c r="B4" s="74" t="s">
        <v>78</v>
      </c>
      <c r="C4" s="74" t="s">
        <v>111</v>
      </c>
      <c r="D4" s="74">
        <v>1</v>
      </c>
      <c r="E4" s="74" t="s">
        <v>182</v>
      </c>
      <c r="F4" s="74" t="s">
        <v>41</v>
      </c>
      <c r="G4" s="74">
        <v>267</v>
      </c>
      <c r="H4" s="74" t="s">
        <v>78</v>
      </c>
      <c r="I4" s="74" t="s">
        <v>223</v>
      </c>
      <c r="J4" s="74" t="s">
        <v>78</v>
      </c>
      <c r="K4" s="74" t="s">
        <v>224</v>
      </c>
      <c r="L4" s="75" t="s">
        <v>12</v>
      </c>
      <c r="M4" s="73"/>
      <c r="N4" s="74"/>
      <c r="O4" s="75" t="s">
        <v>304</v>
      </c>
      <c r="P4" s="76">
        <v>111</v>
      </c>
      <c r="Q4" s="107">
        <v>111.6</v>
      </c>
      <c r="R4" s="79">
        <v>119</v>
      </c>
      <c r="S4" s="77">
        <v>120.7</v>
      </c>
      <c r="T4" s="76">
        <v>129</v>
      </c>
      <c r="U4" s="107">
        <v>129.30000000000001</v>
      </c>
      <c r="V4" s="79">
        <v>136</v>
      </c>
      <c r="W4" s="77">
        <v>137.6</v>
      </c>
      <c r="X4" s="76">
        <v>145</v>
      </c>
      <c r="Y4" s="107">
        <v>145.9</v>
      </c>
      <c r="Z4" s="79">
        <v>154</v>
      </c>
      <c r="AA4" s="97">
        <v>154.9</v>
      </c>
      <c r="AB4" s="82" t="str">
        <f t="shared" si="0"/>
        <v>U</v>
      </c>
      <c r="AC4" s="85"/>
      <c r="AD4" s="84" t="str">
        <f t="shared" si="1"/>
        <v>2025-03-09-7호방-316LDS1-N33671</v>
      </c>
    </row>
    <row r="5" spans="1:30" s="82" customFormat="1" x14ac:dyDescent="0.4">
      <c r="A5" s="73">
        <v>40</v>
      </c>
      <c r="B5" s="74" t="s">
        <v>78</v>
      </c>
      <c r="C5" s="74" t="s">
        <v>112</v>
      </c>
      <c r="D5" s="74">
        <v>1</v>
      </c>
      <c r="E5" s="74" t="s">
        <v>182</v>
      </c>
      <c r="F5" s="74" t="s">
        <v>41</v>
      </c>
      <c r="G5" s="74">
        <v>267</v>
      </c>
      <c r="H5" s="74" t="s">
        <v>78</v>
      </c>
      <c r="I5" s="74" t="s">
        <v>224</v>
      </c>
      <c r="J5" s="74" t="s">
        <v>78</v>
      </c>
      <c r="K5" s="74" t="s">
        <v>225</v>
      </c>
      <c r="L5" s="75" t="s">
        <v>13</v>
      </c>
      <c r="M5" s="73"/>
      <c r="N5" s="74"/>
      <c r="O5" s="75" t="s">
        <v>304</v>
      </c>
      <c r="P5" s="76">
        <v>111</v>
      </c>
      <c r="Q5" s="107">
        <v>111.3</v>
      </c>
      <c r="R5" s="79">
        <v>119</v>
      </c>
      <c r="S5" s="77">
        <v>119.8</v>
      </c>
      <c r="T5" s="76">
        <v>128</v>
      </c>
      <c r="U5" s="107">
        <v>128.30000000000001</v>
      </c>
      <c r="V5" s="79">
        <v>136</v>
      </c>
      <c r="W5" s="77">
        <v>136.6</v>
      </c>
      <c r="X5" s="76">
        <v>145</v>
      </c>
      <c r="Y5" s="107">
        <v>145.4</v>
      </c>
      <c r="Z5" s="79">
        <v>153</v>
      </c>
      <c r="AA5" s="97">
        <v>154.19999999999999</v>
      </c>
      <c r="AB5" s="82" t="str">
        <f t="shared" si="0"/>
        <v>U</v>
      </c>
      <c r="AC5" s="85"/>
      <c r="AD5" s="84" t="str">
        <f t="shared" si="1"/>
        <v>2025-03-09-7호방-316LDS1-N33671</v>
      </c>
    </row>
    <row r="6" spans="1:30" s="82" customFormat="1" x14ac:dyDescent="0.4">
      <c r="A6" s="73">
        <v>41</v>
      </c>
      <c r="B6" s="74" t="s">
        <v>78</v>
      </c>
      <c r="C6" s="74" t="s">
        <v>113</v>
      </c>
      <c r="D6" s="74">
        <v>1</v>
      </c>
      <c r="E6" s="74" t="s">
        <v>182</v>
      </c>
      <c r="F6" s="74" t="s">
        <v>41</v>
      </c>
      <c r="G6" s="74">
        <v>267</v>
      </c>
      <c r="H6" s="74" t="s">
        <v>78</v>
      </c>
      <c r="I6" s="74" t="s">
        <v>225</v>
      </c>
      <c r="J6" s="74" t="s">
        <v>78</v>
      </c>
      <c r="K6" s="74" t="s">
        <v>226</v>
      </c>
      <c r="L6" s="75" t="s">
        <v>14</v>
      </c>
      <c r="M6" s="73"/>
      <c r="N6" s="74"/>
      <c r="O6" s="75" t="s">
        <v>304</v>
      </c>
      <c r="P6" s="76">
        <v>103</v>
      </c>
      <c r="Q6" s="107">
        <v>103.8</v>
      </c>
      <c r="R6" s="79">
        <v>111</v>
      </c>
      <c r="S6" s="77">
        <v>112.6</v>
      </c>
      <c r="T6" s="76">
        <v>120</v>
      </c>
      <c r="U6" s="107">
        <v>121</v>
      </c>
      <c r="V6" s="79">
        <v>129</v>
      </c>
      <c r="W6" s="77">
        <v>130</v>
      </c>
      <c r="X6" s="76">
        <v>138</v>
      </c>
      <c r="Y6" s="107">
        <v>138.9</v>
      </c>
      <c r="Z6" s="79">
        <v>146</v>
      </c>
      <c r="AA6" s="97">
        <v>147.80000000000001</v>
      </c>
      <c r="AB6" s="82" t="str">
        <f t="shared" si="0"/>
        <v>U</v>
      </c>
      <c r="AC6" s="85"/>
      <c r="AD6" s="84" t="str">
        <f t="shared" si="1"/>
        <v>2025-03-09-7호방-316LDS1-N33671</v>
      </c>
    </row>
    <row r="7" spans="1:30" s="82" customFormat="1" x14ac:dyDescent="0.4">
      <c r="A7" s="73">
        <v>42</v>
      </c>
      <c r="B7" s="74" t="s">
        <v>78</v>
      </c>
      <c r="C7" s="74" t="s">
        <v>114</v>
      </c>
      <c r="D7" s="74">
        <v>1</v>
      </c>
      <c r="E7" s="74" t="s">
        <v>182</v>
      </c>
      <c r="F7" s="74" t="s">
        <v>41</v>
      </c>
      <c r="G7" s="74">
        <v>267</v>
      </c>
      <c r="H7" s="74" t="s">
        <v>78</v>
      </c>
      <c r="I7" s="74" t="s">
        <v>227</v>
      </c>
      <c r="J7" s="74" t="s">
        <v>78</v>
      </c>
      <c r="K7" s="74" t="s">
        <v>228</v>
      </c>
      <c r="L7" s="75" t="s">
        <v>310</v>
      </c>
      <c r="M7" s="73"/>
      <c r="N7" s="74"/>
      <c r="O7" s="75" t="s">
        <v>304</v>
      </c>
      <c r="P7" s="76">
        <v>135</v>
      </c>
      <c r="Q7" s="107">
        <v>136.1</v>
      </c>
      <c r="R7" s="79">
        <v>144</v>
      </c>
      <c r="S7" s="77">
        <v>149.80000000000001</v>
      </c>
      <c r="T7" s="76">
        <v>162</v>
      </c>
      <c r="U7" s="107">
        <v>172.1</v>
      </c>
      <c r="V7" s="79">
        <v>180</v>
      </c>
      <c r="W7" s="77">
        <v>182.1</v>
      </c>
      <c r="X7" s="76">
        <v>196</v>
      </c>
      <c r="Y7" s="107">
        <v>199.2</v>
      </c>
      <c r="Z7" s="79">
        <v>209</v>
      </c>
      <c r="AA7" s="97">
        <v>209.7</v>
      </c>
      <c r="AB7" s="82" t="str">
        <f t="shared" si="0"/>
        <v>D</v>
      </c>
      <c r="AC7" s="85"/>
      <c r="AD7" s="84" t="str">
        <f t="shared" si="1"/>
        <v>2025-03-09-7호방-316LDS1-N33671</v>
      </c>
    </row>
    <row r="8" spans="1:30" s="82" customFormat="1" x14ac:dyDescent="0.4">
      <c r="A8" s="73">
        <v>43</v>
      </c>
      <c r="B8" s="74" t="s">
        <v>78</v>
      </c>
      <c r="C8" s="74" t="s">
        <v>115</v>
      </c>
      <c r="D8" s="74">
        <v>1</v>
      </c>
      <c r="E8" s="74" t="s">
        <v>182</v>
      </c>
      <c r="F8" s="74" t="s">
        <v>41</v>
      </c>
      <c r="G8" s="74">
        <v>267</v>
      </c>
      <c r="H8" s="74" t="s">
        <v>78</v>
      </c>
      <c r="I8" s="74" t="s">
        <v>228</v>
      </c>
      <c r="J8" s="74" t="s">
        <v>78</v>
      </c>
      <c r="K8" s="74" t="s">
        <v>229</v>
      </c>
      <c r="L8" s="75" t="s">
        <v>51</v>
      </c>
      <c r="M8" s="73"/>
      <c r="N8" s="74"/>
      <c r="O8" s="75" t="s">
        <v>304</v>
      </c>
      <c r="P8" s="76">
        <v>114</v>
      </c>
      <c r="Q8" s="107">
        <v>119.2</v>
      </c>
      <c r="R8" s="79">
        <v>130</v>
      </c>
      <c r="S8" s="77">
        <v>146.80000000000001</v>
      </c>
      <c r="T8" s="76">
        <v>161</v>
      </c>
      <c r="U8" s="107">
        <v>163.5</v>
      </c>
      <c r="V8" s="79">
        <v>170</v>
      </c>
      <c r="W8" s="77">
        <v>171.7</v>
      </c>
      <c r="X8" s="76">
        <v>190</v>
      </c>
      <c r="Y8" s="107">
        <v>191.1</v>
      </c>
      <c r="Z8" s="79">
        <v>200</v>
      </c>
      <c r="AA8" s="97">
        <v>201.8</v>
      </c>
      <c r="AB8" s="82" t="str">
        <f t="shared" si="0"/>
        <v>D</v>
      </c>
      <c r="AC8" s="85"/>
      <c r="AD8" s="84" t="str">
        <f t="shared" si="1"/>
        <v>2025-03-09-7호방-316LDS1-N33671</v>
      </c>
    </row>
    <row r="9" spans="1:30" s="82" customFormat="1" x14ac:dyDescent="0.4">
      <c r="A9" s="73">
        <v>44</v>
      </c>
      <c r="B9" s="74" t="s">
        <v>78</v>
      </c>
      <c r="C9" s="74" t="s">
        <v>116</v>
      </c>
      <c r="D9" s="74">
        <v>1</v>
      </c>
      <c r="E9" s="74" t="s">
        <v>182</v>
      </c>
      <c r="F9" s="74" t="s">
        <v>41</v>
      </c>
      <c r="G9" s="74">
        <v>267</v>
      </c>
      <c r="H9" s="74" t="s">
        <v>78</v>
      </c>
      <c r="I9" s="74" t="s">
        <v>229</v>
      </c>
      <c r="J9" s="74" t="s">
        <v>78</v>
      </c>
      <c r="K9" s="74" t="s">
        <v>230</v>
      </c>
      <c r="L9" s="75" t="s">
        <v>52</v>
      </c>
      <c r="M9" s="73"/>
      <c r="N9" s="74"/>
      <c r="O9" s="75" t="s">
        <v>304</v>
      </c>
      <c r="P9" s="76">
        <v>126</v>
      </c>
      <c r="Q9" s="107">
        <v>126.3</v>
      </c>
      <c r="R9" s="79">
        <v>135</v>
      </c>
      <c r="S9" s="77">
        <v>138.1</v>
      </c>
      <c r="T9" s="76">
        <v>153</v>
      </c>
      <c r="U9" s="107">
        <v>153.6</v>
      </c>
      <c r="V9" s="79">
        <v>161</v>
      </c>
      <c r="W9" s="77">
        <v>162.9</v>
      </c>
      <c r="X9" s="76">
        <v>173</v>
      </c>
      <c r="Y9" s="107">
        <v>174.3</v>
      </c>
      <c r="Z9" s="79">
        <v>183</v>
      </c>
      <c r="AA9" s="97">
        <v>185.5</v>
      </c>
      <c r="AB9" s="82" t="str">
        <f t="shared" si="0"/>
        <v>D</v>
      </c>
      <c r="AC9" s="85"/>
      <c r="AD9" s="84" t="str">
        <f t="shared" si="1"/>
        <v>2025-03-09-7호방-316LDS1-N33671</v>
      </c>
    </row>
    <row r="10" spans="1:30" s="82" customFormat="1" x14ac:dyDescent="0.4">
      <c r="A10" s="73">
        <v>45</v>
      </c>
      <c r="B10" s="74" t="s">
        <v>78</v>
      </c>
      <c r="C10" s="74" t="s">
        <v>117</v>
      </c>
      <c r="D10" s="74">
        <v>1</v>
      </c>
      <c r="E10" s="74" t="s">
        <v>182</v>
      </c>
      <c r="F10" s="74" t="s">
        <v>41</v>
      </c>
      <c r="G10" s="74">
        <v>267</v>
      </c>
      <c r="H10" s="74" t="s">
        <v>78</v>
      </c>
      <c r="I10" s="74" t="s">
        <v>230</v>
      </c>
      <c r="J10" s="74" t="s">
        <v>78</v>
      </c>
      <c r="K10" s="74" t="s">
        <v>231</v>
      </c>
      <c r="L10" s="75" t="s">
        <v>53</v>
      </c>
      <c r="M10" s="73"/>
      <c r="N10" s="74"/>
      <c r="O10" s="75" t="s">
        <v>304</v>
      </c>
      <c r="P10" s="76">
        <v>121</v>
      </c>
      <c r="Q10" s="107">
        <v>122.2</v>
      </c>
      <c r="R10" s="79">
        <v>130</v>
      </c>
      <c r="S10" s="77">
        <v>132.19999999999999</v>
      </c>
      <c r="T10" s="76">
        <v>149</v>
      </c>
      <c r="U10" s="107">
        <v>150.5</v>
      </c>
      <c r="V10" s="79">
        <v>158</v>
      </c>
      <c r="W10" s="77">
        <v>160.69999999999999</v>
      </c>
      <c r="X10" s="76">
        <v>171</v>
      </c>
      <c r="Y10" s="107">
        <v>173.2</v>
      </c>
      <c r="Z10" s="79">
        <v>182</v>
      </c>
      <c r="AA10" s="97">
        <v>186.4</v>
      </c>
      <c r="AB10" s="82" t="str">
        <f t="shared" si="0"/>
        <v>D</v>
      </c>
      <c r="AC10" s="85"/>
      <c r="AD10" s="84" t="str">
        <f t="shared" si="1"/>
        <v>2025-03-09-7호방-316LDS1-N33671</v>
      </c>
    </row>
    <row r="11" spans="1:30" s="82" customFormat="1" x14ac:dyDescent="0.4">
      <c r="A11" s="73">
        <v>46</v>
      </c>
      <c r="B11" s="74" t="s">
        <v>78</v>
      </c>
      <c r="C11" s="74" t="s">
        <v>118</v>
      </c>
      <c r="D11" s="74">
        <v>1</v>
      </c>
      <c r="E11" s="74" t="s">
        <v>182</v>
      </c>
      <c r="F11" s="74" t="s">
        <v>41</v>
      </c>
      <c r="G11" s="74">
        <v>267</v>
      </c>
      <c r="H11" s="74" t="s">
        <v>78</v>
      </c>
      <c r="I11" s="74" t="s">
        <v>231</v>
      </c>
      <c r="J11" s="74" t="s">
        <v>78</v>
      </c>
      <c r="K11" s="74" t="s">
        <v>232</v>
      </c>
      <c r="L11" s="75" t="s">
        <v>54</v>
      </c>
      <c r="M11" s="73"/>
      <c r="N11" s="74"/>
      <c r="O11" s="75" t="s">
        <v>304</v>
      </c>
      <c r="P11" s="76">
        <v>111</v>
      </c>
      <c r="Q11" s="107">
        <v>114</v>
      </c>
      <c r="R11" s="79">
        <v>123</v>
      </c>
      <c r="S11" s="77">
        <v>127.3</v>
      </c>
      <c r="T11" s="76">
        <v>144</v>
      </c>
      <c r="U11" s="107">
        <v>145.1</v>
      </c>
      <c r="V11" s="79">
        <v>155</v>
      </c>
      <c r="W11" s="77">
        <v>157.19999999999999</v>
      </c>
      <c r="X11" s="76">
        <v>167</v>
      </c>
      <c r="Y11" s="107">
        <v>168.5</v>
      </c>
      <c r="Z11" s="79">
        <v>176</v>
      </c>
      <c r="AA11" s="97">
        <v>177.8</v>
      </c>
      <c r="AB11" s="82" t="str">
        <f t="shared" si="0"/>
        <v>D</v>
      </c>
      <c r="AC11" s="85"/>
      <c r="AD11" s="84" t="str">
        <f t="shared" si="1"/>
        <v>2025-03-09-7호방-316LDS1-N33671</v>
      </c>
    </row>
    <row r="12" spans="1:30" s="92" customFormat="1" x14ac:dyDescent="0.2">
      <c r="A12" s="86">
        <v>65</v>
      </c>
      <c r="B12" s="87" t="s">
        <v>80</v>
      </c>
      <c r="C12" s="87" t="s">
        <v>136</v>
      </c>
      <c r="D12" s="87">
        <v>1</v>
      </c>
      <c r="E12" s="87" t="s">
        <v>185</v>
      </c>
      <c r="F12" s="87" t="s">
        <v>41</v>
      </c>
      <c r="G12" s="87">
        <v>270</v>
      </c>
      <c r="H12" s="87" t="s">
        <v>80</v>
      </c>
      <c r="I12" s="87" t="s">
        <v>256</v>
      </c>
      <c r="J12" s="87" t="s">
        <v>80</v>
      </c>
      <c r="K12" s="87" t="s">
        <v>257</v>
      </c>
      <c r="L12" s="88" t="s">
        <v>307</v>
      </c>
      <c r="M12" s="86"/>
      <c r="N12" s="87"/>
      <c r="O12" s="88" t="s">
        <v>304</v>
      </c>
      <c r="P12" s="89">
        <v>121</v>
      </c>
      <c r="Q12" s="108">
        <v>121</v>
      </c>
      <c r="R12" s="91">
        <v>130</v>
      </c>
      <c r="S12" s="90">
        <v>131.19999999999999</v>
      </c>
      <c r="T12" s="89">
        <v>144</v>
      </c>
      <c r="U12" s="108">
        <v>146.1</v>
      </c>
      <c r="V12" s="91">
        <v>159</v>
      </c>
      <c r="W12" s="90">
        <v>162.30000000000001</v>
      </c>
      <c r="X12" s="89">
        <v>176</v>
      </c>
      <c r="Y12" s="108">
        <v>178</v>
      </c>
      <c r="Z12" s="91">
        <v>188</v>
      </c>
      <c r="AA12" s="98">
        <v>188.5</v>
      </c>
      <c r="AB12" s="82" t="str">
        <f t="shared" si="0"/>
        <v>U</v>
      </c>
      <c r="AC12" s="93" t="s">
        <v>322</v>
      </c>
      <c r="AD12" s="94" t="str">
        <f t="shared" si="1"/>
        <v>2025-03-15-7호방-316LDS1-N33842</v>
      </c>
    </row>
    <row r="13" spans="1:30" s="92" customFormat="1" x14ac:dyDescent="0.25">
      <c r="A13" s="86">
        <v>66</v>
      </c>
      <c r="B13" s="87" t="s">
        <v>80</v>
      </c>
      <c r="C13" s="87" t="s">
        <v>137</v>
      </c>
      <c r="D13" s="87">
        <v>1</v>
      </c>
      <c r="E13" s="87" t="s">
        <v>185</v>
      </c>
      <c r="F13" s="87" t="s">
        <v>41</v>
      </c>
      <c r="G13" s="87">
        <v>270</v>
      </c>
      <c r="H13" s="87" t="s">
        <v>80</v>
      </c>
      <c r="I13" s="87" t="s">
        <v>258</v>
      </c>
      <c r="J13" s="87" t="s">
        <v>80</v>
      </c>
      <c r="K13" s="87" t="s">
        <v>259</v>
      </c>
      <c r="L13" s="88" t="s">
        <v>309</v>
      </c>
      <c r="M13" s="86"/>
      <c r="N13" s="87"/>
      <c r="O13" s="88" t="s">
        <v>304</v>
      </c>
      <c r="P13" s="89">
        <v>111</v>
      </c>
      <c r="Q13" s="108">
        <v>111.5</v>
      </c>
      <c r="R13" s="91">
        <v>120</v>
      </c>
      <c r="S13" s="90">
        <v>121.4</v>
      </c>
      <c r="T13" s="89">
        <v>135</v>
      </c>
      <c r="U13" s="108">
        <v>136.30000000000001</v>
      </c>
      <c r="V13" s="91">
        <v>148</v>
      </c>
      <c r="W13" s="90">
        <v>151.9</v>
      </c>
      <c r="X13" s="89">
        <v>165</v>
      </c>
      <c r="Y13" s="108">
        <v>167.3</v>
      </c>
      <c r="Z13" s="91">
        <v>176</v>
      </c>
      <c r="AA13" s="98">
        <v>177.4</v>
      </c>
      <c r="AB13" s="82" t="str">
        <f t="shared" si="0"/>
        <v>U</v>
      </c>
      <c r="AC13" s="95"/>
      <c r="AD13" s="94" t="str">
        <f t="shared" si="1"/>
        <v>2025-03-15-7호방-316LDS1-N33842</v>
      </c>
    </row>
    <row r="14" spans="1:30" s="92" customFormat="1" x14ac:dyDescent="0.25">
      <c r="A14" s="86">
        <v>67</v>
      </c>
      <c r="B14" s="87" t="s">
        <v>80</v>
      </c>
      <c r="C14" s="87" t="s">
        <v>138</v>
      </c>
      <c r="D14" s="87">
        <v>1</v>
      </c>
      <c r="E14" s="87" t="s">
        <v>185</v>
      </c>
      <c r="F14" s="87" t="s">
        <v>41</v>
      </c>
      <c r="G14" s="87">
        <v>270</v>
      </c>
      <c r="H14" s="87" t="s">
        <v>80</v>
      </c>
      <c r="I14" s="87" t="s">
        <v>259</v>
      </c>
      <c r="J14" s="87" t="s">
        <v>80</v>
      </c>
      <c r="K14" s="87" t="s">
        <v>260</v>
      </c>
      <c r="L14" s="88" t="s">
        <v>12</v>
      </c>
      <c r="M14" s="86"/>
      <c r="N14" s="87"/>
      <c r="O14" s="88" t="s">
        <v>304</v>
      </c>
      <c r="P14" s="89">
        <v>111</v>
      </c>
      <c r="Q14" s="108">
        <v>111.2</v>
      </c>
      <c r="R14" s="91">
        <v>120</v>
      </c>
      <c r="S14" s="90">
        <v>121</v>
      </c>
      <c r="T14" s="89">
        <v>134</v>
      </c>
      <c r="U14" s="108">
        <v>135.80000000000001</v>
      </c>
      <c r="V14" s="91">
        <v>148</v>
      </c>
      <c r="W14" s="90">
        <v>151.9</v>
      </c>
      <c r="X14" s="89">
        <v>166</v>
      </c>
      <c r="Y14" s="108">
        <v>167.5</v>
      </c>
      <c r="Z14" s="91">
        <v>177</v>
      </c>
      <c r="AA14" s="98">
        <v>177.8</v>
      </c>
      <c r="AB14" s="82" t="str">
        <f t="shared" si="0"/>
        <v>U</v>
      </c>
      <c r="AC14" s="95"/>
      <c r="AD14" s="94" t="str">
        <f t="shared" si="1"/>
        <v>2025-03-15-7호방-316LDS1-N33842</v>
      </c>
    </row>
    <row r="15" spans="1:30" s="92" customFormat="1" x14ac:dyDescent="0.25">
      <c r="A15" s="86">
        <v>68</v>
      </c>
      <c r="B15" s="87" t="s">
        <v>80</v>
      </c>
      <c r="C15" s="87" t="s">
        <v>139</v>
      </c>
      <c r="D15" s="87">
        <v>1</v>
      </c>
      <c r="E15" s="87" t="s">
        <v>185</v>
      </c>
      <c r="F15" s="87" t="s">
        <v>41</v>
      </c>
      <c r="G15" s="87">
        <v>270</v>
      </c>
      <c r="H15" s="87" t="s">
        <v>80</v>
      </c>
      <c r="I15" s="87" t="s">
        <v>260</v>
      </c>
      <c r="J15" s="87" t="s">
        <v>80</v>
      </c>
      <c r="K15" s="87" t="s">
        <v>261</v>
      </c>
      <c r="L15" s="88" t="s">
        <v>13</v>
      </c>
      <c r="M15" s="86"/>
      <c r="N15" s="87"/>
      <c r="O15" s="88" t="s">
        <v>304</v>
      </c>
      <c r="P15" s="89">
        <v>106</v>
      </c>
      <c r="Q15" s="108">
        <v>106.7</v>
      </c>
      <c r="R15" s="91">
        <v>115</v>
      </c>
      <c r="S15" s="90">
        <v>116.8</v>
      </c>
      <c r="T15" s="89">
        <v>130</v>
      </c>
      <c r="U15" s="108">
        <v>131.80000000000001</v>
      </c>
      <c r="V15" s="91">
        <v>144</v>
      </c>
      <c r="W15" s="90">
        <v>148</v>
      </c>
      <c r="X15" s="89">
        <v>162</v>
      </c>
      <c r="Y15" s="108">
        <v>163.69999999999999</v>
      </c>
      <c r="Z15" s="91">
        <v>173</v>
      </c>
      <c r="AA15" s="98">
        <v>174.1</v>
      </c>
      <c r="AB15" s="82" t="str">
        <f t="shared" si="0"/>
        <v>U</v>
      </c>
      <c r="AC15" s="95"/>
      <c r="AD15" s="94" t="str">
        <f t="shared" si="1"/>
        <v>2025-03-15-7호방-316LDS1-N33842</v>
      </c>
    </row>
    <row r="16" spans="1:30" s="92" customFormat="1" x14ac:dyDescent="0.25">
      <c r="A16" s="86">
        <v>69</v>
      </c>
      <c r="B16" s="87" t="s">
        <v>80</v>
      </c>
      <c r="C16" s="87" t="s">
        <v>140</v>
      </c>
      <c r="D16" s="87">
        <v>1</v>
      </c>
      <c r="E16" s="87" t="s">
        <v>185</v>
      </c>
      <c r="F16" s="87" t="s">
        <v>41</v>
      </c>
      <c r="G16" s="87">
        <v>270</v>
      </c>
      <c r="H16" s="87" t="s">
        <v>80</v>
      </c>
      <c r="I16" s="87" t="s">
        <v>261</v>
      </c>
      <c r="J16" s="87" t="s">
        <v>80</v>
      </c>
      <c r="K16" s="87" t="s">
        <v>262</v>
      </c>
      <c r="L16" s="88" t="s">
        <v>14</v>
      </c>
      <c r="M16" s="86"/>
      <c r="N16" s="87"/>
      <c r="O16" s="88" t="s">
        <v>304</v>
      </c>
      <c r="P16" s="89">
        <v>107</v>
      </c>
      <c r="Q16" s="108">
        <v>107.9</v>
      </c>
      <c r="R16" s="91">
        <v>117</v>
      </c>
      <c r="S16" s="90">
        <v>118</v>
      </c>
      <c r="T16" s="89">
        <v>132</v>
      </c>
      <c r="U16" s="108">
        <v>133.5</v>
      </c>
      <c r="V16" s="91">
        <v>146</v>
      </c>
      <c r="W16" s="90">
        <v>149.80000000000001</v>
      </c>
      <c r="X16" s="89">
        <v>164</v>
      </c>
      <c r="Y16" s="108">
        <v>165.5</v>
      </c>
      <c r="Z16" s="91">
        <v>175</v>
      </c>
      <c r="AA16" s="98">
        <v>176.3</v>
      </c>
      <c r="AB16" s="82" t="str">
        <f t="shared" si="0"/>
        <v>U</v>
      </c>
      <c r="AC16" s="95"/>
      <c r="AD16" s="94" t="str">
        <f t="shared" si="1"/>
        <v>2025-03-15-7호방-316LDS1-N33842</v>
      </c>
    </row>
    <row r="17" spans="1:30" s="92" customFormat="1" x14ac:dyDescent="0.25">
      <c r="A17" s="86">
        <v>70</v>
      </c>
      <c r="B17" s="87" t="s">
        <v>80</v>
      </c>
      <c r="C17" s="87" t="s">
        <v>141</v>
      </c>
      <c r="D17" s="87">
        <v>1</v>
      </c>
      <c r="E17" s="87" t="s">
        <v>185</v>
      </c>
      <c r="F17" s="87" t="s">
        <v>41</v>
      </c>
      <c r="G17" s="87">
        <v>267</v>
      </c>
      <c r="H17" s="87" t="s">
        <v>80</v>
      </c>
      <c r="I17" s="87" t="s">
        <v>262</v>
      </c>
      <c r="J17" s="87" t="s">
        <v>80</v>
      </c>
      <c r="K17" s="87" t="s">
        <v>263</v>
      </c>
      <c r="L17" s="88" t="s">
        <v>310</v>
      </c>
      <c r="M17" s="86"/>
      <c r="N17" s="87"/>
      <c r="O17" s="88" t="s">
        <v>304</v>
      </c>
      <c r="P17" s="89">
        <v>101</v>
      </c>
      <c r="Q17" s="108">
        <v>102</v>
      </c>
      <c r="R17" s="91">
        <v>110</v>
      </c>
      <c r="S17" s="90">
        <v>112</v>
      </c>
      <c r="T17" s="89">
        <v>126</v>
      </c>
      <c r="U17" s="108">
        <v>127.8</v>
      </c>
      <c r="V17" s="91">
        <v>141</v>
      </c>
      <c r="W17" s="90">
        <v>144.80000000000001</v>
      </c>
      <c r="X17" s="89">
        <v>159</v>
      </c>
      <c r="Y17" s="108">
        <v>160.69999999999999</v>
      </c>
      <c r="Z17" s="91">
        <v>170</v>
      </c>
      <c r="AA17" s="98">
        <v>170.8</v>
      </c>
      <c r="AB17" s="82" t="str">
        <f t="shared" si="0"/>
        <v>D</v>
      </c>
      <c r="AC17" s="95"/>
      <c r="AD17" s="94" t="str">
        <f t="shared" si="1"/>
        <v>2025-03-15-7호방-316LDS1-N33842</v>
      </c>
    </row>
    <row r="18" spans="1:30" s="92" customFormat="1" x14ac:dyDescent="0.25">
      <c r="A18" s="86">
        <v>71</v>
      </c>
      <c r="B18" s="87" t="s">
        <v>80</v>
      </c>
      <c r="C18" s="87" t="s">
        <v>142</v>
      </c>
      <c r="D18" s="87">
        <v>1</v>
      </c>
      <c r="E18" s="87" t="s">
        <v>185</v>
      </c>
      <c r="F18" s="87" t="s">
        <v>41</v>
      </c>
      <c r="G18" s="87">
        <v>267</v>
      </c>
      <c r="H18" s="87" t="s">
        <v>80</v>
      </c>
      <c r="I18" s="87" t="s">
        <v>263</v>
      </c>
      <c r="J18" s="87" t="s">
        <v>80</v>
      </c>
      <c r="K18" s="87" t="s">
        <v>264</v>
      </c>
      <c r="L18" s="88" t="s">
        <v>51</v>
      </c>
      <c r="M18" s="86"/>
      <c r="N18" s="87"/>
      <c r="O18" s="88" t="s">
        <v>304</v>
      </c>
      <c r="P18" s="89">
        <v>99</v>
      </c>
      <c r="Q18" s="108">
        <v>99.9</v>
      </c>
      <c r="R18" s="91">
        <v>108</v>
      </c>
      <c r="S18" s="90">
        <v>109.6</v>
      </c>
      <c r="T18" s="89">
        <v>123</v>
      </c>
      <c r="U18" s="108">
        <v>124.5</v>
      </c>
      <c r="V18" s="91">
        <v>137</v>
      </c>
      <c r="W18" s="90">
        <v>141.1</v>
      </c>
      <c r="X18" s="89">
        <v>155</v>
      </c>
      <c r="Y18" s="108">
        <v>156.4</v>
      </c>
      <c r="Z18" s="91">
        <v>166</v>
      </c>
      <c r="AA18" s="98">
        <v>167.2</v>
      </c>
      <c r="AB18" s="82" t="str">
        <f t="shared" si="0"/>
        <v>D</v>
      </c>
      <c r="AC18" s="95"/>
      <c r="AD18" s="94" t="str">
        <f t="shared" si="1"/>
        <v>2025-03-15-7호방-316LDS1-N33842</v>
      </c>
    </row>
    <row r="19" spans="1:30" s="92" customFormat="1" x14ac:dyDescent="0.25">
      <c r="A19" s="86">
        <v>72</v>
      </c>
      <c r="B19" s="87" t="s">
        <v>80</v>
      </c>
      <c r="C19" s="87" t="s">
        <v>143</v>
      </c>
      <c r="D19" s="87">
        <v>1</v>
      </c>
      <c r="E19" s="87" t="s">
        <v>185</v>
      </c>
      <c r="F19" s="87" t="s">
        <v>41</v>
      </c>
      <c r="G19" s="87">
        <v>267</v>
      </c>
      <c r="H19" s="87" t="s">
        <v>80</v>
      </c>
      <c r="I19" s="87" t="s">
        <v>264</v>
      </c>
      <c r="J19" s="87" t="s">
        <v>80</v>
      </c>
      <c r="K19" s="87" t="s">
        <v>265</v>
      </c>
      <c r="L19" s="88" t="s">
        <v>52</v>
      </c>
      <c r="M19" s="86"/>
      <c r="N19" s="87"/>
      <c r="O19" s="88" t="s">
        <v>304</v>
      </c>
      <c r="P19" s="89">
        <v>105</v>
      </c>
      <c r="Q19" s="108">
        <v>105.2</v>
      </c>
      <c r="R19" s="91">
        <v>114</v>
      </c>
      <c r="S19" s="90">
        <v>115.4</v>
      </c>
      <c r="T19" s="89">
        <v>129</v>
      </c>
      <c r="U19" s="108">
        <v>131.4</v>
      </c>
      <c r="V19" s="91">
        <v>144</v>
      </c>
      <c r="W19" s="90">
        <v>148.4</v>
      </c>
      <c r="X19" s="89">
        <v>162</v>
      </c>
      <c r="Y19" s="108">
        <v>163.9</v>
      </c>
      <c r="Z19" s="91">
        <v>173</v>
      </c>
      <c r="AA19" s="98">
        <v>174.7</v>
      </c>
      <c r="AB19" s="82" t="str">
        <f t="shared" si="0"/>
        <v>D</v>
      </c>
      <c r="AC19" s="95"/>
      <c r="AD19" s="94" t="str">
        <f t="shared" si="1"/>
        <v>2025-03-15-7호방-316LDS1-N33842</v>
      </c>
    </row>
    <row r="20" spans="1:30" s="1" customFormat="1" x14ac:dyDescent="0.25">
      <c r="A20" s="6">
        <v>73</v>
      </c>
      <c r="B20" s="3" t="s">
        <v>80</v>
      </c>
      <c r="C20" s="3" t="s">
        <v>144</v>
      </c>
      <c r="D20" s="3">
        <v>1</v>
      </c>
      <c r="E20" s="3" t="s">
        <v>185</v>
      </c>
      <c r="F20" s="3" t="s">
        <v>41</v>
      </c>
      <c r="G20" s="3">
        <v>267</v>
      </c>
      <c r="H20" s="3" t="s">
        <v>80</v>
      </c>
      <c r="I20" s="3" t="s">
        <v>265</v>
      </c>
      <c r="J20" s="3" t="s">
        <v>80</v>
      </c>
      <c r="K20" s="3" t="s">
        <v>266</v>
      </c>
      <c r="L20" s="7" t="s">
        <v>53</v>
      </c>
      <c r="M20" s="6"/>
      <c r="N20" s="3"/>
      <c r="O20" s="7" t="s">
        <v>304</v>
      </c>
      <c r="P20" s="29">
        <v>235</v>
      </c>
      <c r="Q20" s="110">
        <v>254</v>
      </c>
      <c r="R20" s="31">
        <v>262</v>
      </c>
      <c r="S20" s="54">
        <v>263.89999999999998</v>
      </c>
      <c r="T20" s="33">
        <v>264</v>
      </c>
      <c r="U20" s="111">
        <v>278.5</v>
      </c>
      <c r="V20" s="114">
        <v>317</v>
      </c>
      <c r="W20" s="115">
        <v>318.3</v>
      </c>
      <c r="X20" s="116">
        <v>343</v>
      </c>
      <c r="Y20" s="117">
        <v>343.4</v>
      </c>
      <c r="Z20" s="31">
        <v>353</v>
      </c>
      <c r="AA20" s="112">
        <v>353.4</v>
      </c>
      <c r="AB20" s="1" t="str">
        <f t="shared" si="0"/>
        <v>D</v>
      </c>
      <c r="AC20" s="62"/>
      <c r="AD20" s="113" t="str">
        <f t="shared" si="1"/>
        <v>2025-03-15-7호방-316LDS1-N33842</v>
      </c>
    </row>
    <row r="21" spans="1:30" s="92" customFormat="1" ht="18" thickBot="1" x14ac:dyDescent="0.3">
      <c r="A21" s="99">
        <v>74</v>
      </c>
      <c r="B21" s="100" t="s">
        <v>80</v>
      </c>
      <c r="C21" s="100" t="s">
        <v>145</v>
      </c>
      <c r="D21" s="100">
        <v>1</v>
      </c>
      <c r="E21" s="100" t="s">
        <v>185</v>
      </c>
      <c r="F21" s="101" t="s">
        <v>41</v>
      </c>
      <c r="G21" s="100">
        <v>267</v>
      </c>
      <c r="H21" s="100" t="s">
        <v>80</v>
      </c>
      <c r="I21" s="100" t="s">
        <v>267</v>
      </c>
      <c r="J21" s="100" t="s">
        <v>80</v>
      </c>
      <c r="K21" s="100" t="s">
        <v>268</v>
      </c>
      <c r="L21" s="102" t="s">
        <v>54</v>
      </c>
      <c r="M21" s="99"/>
      <c r="N21" s="100"/>
      <c r="O21" s="102" t="s">
        <v>304</v>
      </c>
      <c r="P21" s="105">
        <v>80</v>
      </c>
      <c r="Q21" s="109">
        <v>80.8</v>
      </c>
      <c r="R21" s="103">
        <v>89</v>
      </c>
      <c r="S21" s="104">
        <v>90.5</v>
      </c>
      <c r="T21" s="105">
        <v>103</v>
      </c>
      <c r="U21" s="109">
        <v>105.3</v>
      </c>
      <c r="V21" s="103">
        <v>120</v>
      </c>
      <c r="W21" s="104">
        <v>121.2</v>
      </c>
      <c r="X21" s="105">
        <v>135</v>
      </c>
      <c r="Y21" s="109">
        <v>136.69999999999999</v>
      </c>
      <c r="Z21" s="103">
        <v>146</v>
      </c>
      <c r="AA21" s="106">
        <v>146.9</v>
      </c>
      <c r="AB21" s="82" t="str">
        <f t="shared" si="0"/>
        <v>D</v>
      </c>
      <c r="AC21" s="95"/>
      <c r="AD21" s="94" t="str">
        <f t="shared" si="1"/>
        <v>2025-03-15-7호방-316LDS1-N33842</v>
      </c>
    </row>
    <row r="22" spans="1:30" s="92" customFormat="1" x14ac:dyDescent="0.4"/>
    <row r="23" spans="1:30" s="92" customFormat="1" x14ac:dyDescent="0.4"/>
    <row r="24" spans="1:30" s="92" customFormat="1" x14ac:dyDescent="0.4"/>
    <row r="25" spans="1:30" s="92" customFormat="1" x14ac:dyDescent="0.4"/>
    <row r="26" spans="1:30" s="92" customFormat="1" x14ac:dyDescent="0.4"/>
    <row r="27" spans="1:30" s="92" customFormat="1" x14ac:dyDescent="0.4"/>
    <row r="28" spans="1:30" s="92" customFormat="1" x14ac:dyDescent="0.4"/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71"/>
  <sheetViews>
    <sheetView tabSelected="1" topLeftCell="T43" zoomScale="85" zoomScaleNormal="85" workbookViewId="0">
      <selection activeCell="AF51" sqref="AF51:AF53"/>
    </sheetView>
  </sheetViews>
  <sheetFormatPr defaultRowHeight="17.399999999999999" x14ac:dyDescent="0.4"/>
  <cols>
    <col min="1" max="1" width="5.3984375" style="61" bestFit="1" customWidth="1"/>
    <col min="2" max="2" width="9.09765625" style="61" bestFit="1" customWidth="1"/>
    <col min="3" max="3" width="14.69921875" style="61" customWidth="1"/>
    <col min="4" max="4" width="9.09765625" style="61" bestFit="1" customWidth="1"/>
    <col min="5" max="5" width="8.69921875" style="61" bestFit="1" customWidth="1"/>
    <col min="6" max="7" width="9.09765625" style="61" bestFit="1" customWidth="1"/>
    <col min="8" max="8" width="7.19921875" style="61" bestFit="1" customWidth="1"/>
    <col min="9" max="9" width="9.09765625" style="61" bestFit="1" customWidth="1"/>
    <col min="10" max="10" width="7.19921875" style="61" bestFit="1" customWidth="1"/>
    <col min="11" max="13" width="9.09765625" style="61" bestFit="1" customWidth="1"/>
    <col min="14" max="14" width="10.19921875" style="61" bestFit="1" customWidth="1"/>
    <col min="15" max="15" width="9.09765625" style="61" bestFit="1" customWidth="1"/>
    <col min="16" max="16" width="11.69921875" style="61" bestFit="1" customWidth="1"/>
    <col min="17" max="17" width="12.3984375" style="61" bestFit="1" customWidth="1"/>
    <col min="18" max="18" width="8" style="61" bestFit="1" customWidth="1"/>
    <col min="19" max="19" width="11.69921875" style="61" bestFit="1" customWidth="1"/>
    <col min="20" max="20" width="12.3984375" style="61" bestFit="1" customWidth="1"/>
    <col min="21" max="21" width="8" style="61" bestFit="1" customWidth="1"/>
    <col min="22" max="22" width="11.69921875" style="61" bestFit="1" customWidth="1"/>
    <col min="23" max="23" width="12.3984375" style="61" bestFit="1" customWidth="1"/>
    <col min="24" max="24" width="8" style="61" bestFit="1" customWidth="1"/>
    <col min="25" max="25" width="11.69921875" style="61" bestFit="1" customWidth="1"/>
    <col min="26" max="26" width="12.3984375" style="61" bestFit="1" customWidth="1"/>
    <col min="27" max="27" width="8" style="61" bestFit="1" customWidth="1"/>
    <col min="28" max="28" width="11.69921875" style="61" bestFit="1" customWidth="1"/>
    <col min="29" max="29" width="12.3984375" style="61" bestFit="1" customWidth="1"/>
    <col min="30" max="30" width="8" style="61" bestFit="1" customWidth="1"/>
    <col min="31" max="31" width="11.69921875" style="61" bestFit="1" customWidth="1"/>
    <col min="32" max="32" width="12.3984375" style="61" bestFit="1" customWidth="1"/>
    <col min="33" max="33" width="8" style="61" bestFit="1" customWidth="1"/>
    <col min="34" max="34" width="29.3984375" style="61" bestFit="1" customWidth="1"/>
    <col min="35" max="35" width="24.3984375" style="61" bestFit="1" customWidth="1"/>
    <col min="36" max="36" width="29.3984375" style="61" bestFit="1" customWidth="1"/>
    <col min="37" max="37" width="24.3984375" style="61" bestFit="1" customWidth="1"/>
    <col min="38" max="38" width="29.3984375" style="61" bestFit="1" customWidth="1"/>
    <col min="39" max="39" width="24.3984375" style="61" bestFit="1" customWidth="1"/>
    <col min="40" max="40" width="29.3984375" style="61" bestFit="1" customWidth="1"/>
    <col min="41" max="41" width="24.3984375" style="61" bestFit="1" customWidth="1"/>
    <col min="42" max="42" width="29.3984375" style="61" bestFit="1" customWidth="1"/>
    <col min="43" max="43" width="24.3984375" style="61" bestFit="1" customWidth="1"/>
    <col min="44" max="44" width="29.3984375" style="61" bestFit="1" customWidth="1"/>
    <col min="45" max="45" width="24.3984375" style="61" bestFit="1" customWidth="1"/>
    <col min="46" max="46" width="5.69921875" style="61" bestFit="1" customWidth="1"/>
    <col min="47" max="48" width="6.796875" style="61" bestFit="1" customWidth="1"/>
    <col min="49" max="16384" width="8.796875" style="61"/>
  </cols>
  <sheetData>
    <row r="1" spans="1:48" ht="18" thickBo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20" t="s">
        <v>39</v>
      </c>
      <c r="G1" s="20" t="s">
        <v>5</v>
      </c>
      <c r="H1" s="16" t="s">
        <v>8</v>
      </c>
      <c r="I1" s="16" t="s">
        <v>6</v>
      </c>
      <c r="J1" s="16" t="s">
        <v>7</v>
      </c>
      <c r="K1" s="16" t="s">
        <v>9</v>
      </c>
      <c r="L1" s="17" t="s">
        <v>10</v>
      </c>
      <c r="M1" s="18" t="s">
        <v>73</v>
      </c>
      <c r="N1" s="16" t="s">
        <v>72</v>
      </c>
      <c r="O1" s="19" t="s">
        <v>75</v>
      </c>
      <c r="P1" s="140" t="s">
        <v>342</v>
      </c>
      <c r="Q1" s="140" t="s">
        <v>344</v>
      </c>
      <c r="R1" s="140" t="s">
        <v>345</v>
      </c>
      <c r="S1" s="140" t="s">
        <v>67</v>
      </c>
      <c r="T1" s="140" t="s">
        <v>57</v>
      </c>
      <c r="U1" s="140" t="s">
        <v>58</v>
      </c>
      <c r="V1" s="140" t="s">
        <v>68</v>
      </c>
      <c r="W1" s="140" t="s">
        <v>59</v>
      </c>
      <c r="X1" s="140" t="s">
        <v>60</v>
      </c>
      <c r="Y1" s="140" t="s">
        <v>69</v>
      </c>
      <c r="Z1" s="140" t="s">
        <v>61</v>
      </c>
      <c r="AA1" s="140" t="s">
        <v>62</v>
      </c>
      <c r="AB1" s="140" t="s">
        <v>70</v>
      </c>
      <c r="AC1" s="140" t="s">
        <v>63</v>
      </c>
      <c r="AD1" s="140" t="s">
        <v>64</v>
      </c>
      <c r="AE1" s="140" t="s">
        <v>71</v>
      </c>
      <c r="AF1" s="140" t="s">
        <v>65</v>
      </c>
      <c r="AG1" s="140" t="s">
        <v>66</v>
      </c>
      <c r="AH1" s="39" t="s">
        <v>341</v>
      </c>
      <c r="AI1" s="96" t="s">
        <v>330</v>
      </c>
      <c r="AJ1" s="46" t="s">
        <v>331</v>
      </c>
      <c r="AK1" s="39" t="s">
        <v>332</v>
      </c>
      <c r="AL1" s="39" t="s">
        <v>333</v>
      </c>
      <c r="AM1" s="96" t="s">
        <v>334</v>
      </c>
      <c r="AN1" s="46" t="s">
        <v>335</v>
      </c>
      <c r="AO1" s="39" t="s">
        <v>336</v>
      </c>
      <c r="AP1" s="39" t="s">
        <v>337</v>
      </c>
      <c r="AQ1" s="96" t="s">
        <v>338</v>
      </c>
      <c r="AR1" s="46" t="s">
        <v>339</v>
      </c>
      <c r="AS1" s="96" t="s">
        <v>340</v>
      </c>
      <c r="AT1" s="56" t="s">
        <v>312</v>
      </c>
      <c r="AU1" s="59" t="s">
        <v>321</v>
      </c>
      <c r="AV1" s="56" t="s">
        <v>329</v>
      </c>
    </row>
    <row r="2" spans="1:48" s="82" customFormat="1" x14ac:dyDescent="0.2">
      <c r="A2" s="73">
        <v>37</v>
      </c>
      <c r="B2" s="74" t="s">
        <v>78</v>
      </c>
      <c r="C2" s="74" t="s">
        <v>109</v>
      </c>
      <c r="D2" s="74">
        <v>1</v>
      </c>
      <c r="E2" s="74" t="s">
        <v>182</v>
      </c>
      <c r="F2" s="74" t="s">
        <v>41</v>
      </c>
      <c r="G2" s="74">
        <v>270</v>
      </c>
      <c r="H2" s="74" t="s">
        <v>78</v>
      </c>
      <c r="I2" s="74" t="s">
        <v>221</v>
      </c>
      <c r="J2" s="74" t="s">
        <v>78</v>
      </c>
      <c r="K2" s="74" t="s">
        <v>222</v>
      </c>
      <c r="L2" s="75" t="s">
        <v>307</v>
      </c>
      <c r="M2" s="73" t="str">
        <f>L2&amp;"-"&amp;DAY(B2)&amp;"일"</f>
        <v>U1-9일</v>
      </c>
      <c r="N2" s="74"/>
      <c r="O2" s="75" t="s">
        <v>304</v>
      </c>
      <c r="P2" s="147">
        <v>68.1267</v>
      </c>
      <c r="Q2" s="148">
        <v>1.1772400000000001</v>
      </c>
      <c r="R2" s="147">
        <v>415</v>
      </c>
      <c r="S2" s="147">
        <v>133.458</v>
      </c>
      <c r="T2" s="148">
        <v>1.81541</v>
      </c>
      <c r="U2" s="147">
        <v>370</v>
      </c>
      <c r="V2" s="147">
        <v>127.866</v>
      </c>
      <c r="W2" s="148">
        <v>1.5382400000000001</v>
      </c>
      <c r="X2" s="147">
        <v>320</v>
      </c>
      <c r="Y2" s="147">
        <v>178.37799999999999</v>
      </c>
      <c r="Z2" s="148">
        <v>1.5122</v>
      </c>
      <c r="AA2" s="147">
        <v>260</v>
      </c>
      <c r="AB2" s="147">
        <v>165.797</v>
      </c>
      <c r="AC2" s="148">
        <v>1.5547599999999999</v>
      </c>
      <c r="AD2" s="147">
        <v>200</v>
      </c>
      <c r="AE2" s="147">
        <v>169.059</v>
      </c>
      <c r="AF2" s="148">
        <v>1.6773400000000001</v>
      </c>
      <c r="AG2" s="147">
        <v>140</v>
      </c>
      <c r="AH2" s="76">
        <v>117</v>
      </c>
      <c r="AI2" s="107">
        <v>117.6</v>
      </c>
      <c r="AJ2" s="79">
        <v>125</v>
      </c>
      <c r="AK2" s="77">
        <v>126.6</v>
      </c>
      <c r="AL2" s="76">
        <v>135</v>
      </c>
      <c r="AM2" s="107">
        <v>135.19999999999999</v>
      </c>
      <c r="AN2" s="79">
        <v>143</v>
      </c>
      <c r="AO2" s="77">
        <v>144.1</v>
      </c>
      <c r="AP2" s="76">
        <v>152</v>
      </c>
      <c r="AQ2" s="107">
        <v>152.6</v>
      </c>
      <c r="AR2" s="79">
        <v>161</v>
      </c>
      <c r="AS2" s="97">
        <v>161.69999999999999</v>
      </c>
      <c r="AT2" s="82" t="str">
        <f t="shared" ref="AT2:AT21" si="0">IF(AS2="","",LEFT(L2,1))</f>
        <v>U</v>
      </c>
      <c r="AU2" s="83" t="s">
        <v>323</v>
      </c>
      <c r="AV2" s="84" t="str">
        <f t="shared" ref="AV2:AV21" si="1">H2&amp;"-"&amp;O2&amp;"-"&amp;F2&amp;"-"&amp;E2</f>
        <v>2025-03-09-7호방-316LDS1-N33671</v>
      </c>
    </row>
    <row r="3" spans="1:48" s="82" customFormat="1" x14ac:dyDescent="0.4">
      <c r="A3" s="73">
        <v>38</v>
      </c>
      <c r="B3" s="74" t="s">
        <v>78</v>
      </c>
      <c r="C3" s="74" t="s">
        <v>110</v>
      </c>
      <c r="D3" s="74">
        <v>1</v>
      </c>
      <c r="E3" s="74" t="s">
        <v>182</v>
      </c>
      <c r="F3" s="74" t="s">
        <v>41</v>
      </c>
      <c r="G3" s="74">
        <v>270</v>
      </c>
      <c r="H3" s="74" t="s">
        <v>78</v>
      </c>
      <c r="I3" s="74" t="s">
        <v>222</v>
      </c>
      <c r="J3" s="74" t="s">
        <v>78</v>
      </c>
      <c r="K3" s="74" t="s">
        <v>223</v>
      </c>
      <c r="L3" s="75" t="s">
        <v>309</v>
      </c>
      <c r="M3" s="73" t="str">
        <f t="shared" ref="M3:M21" si="2">L3&amp;"-"&amp;DAY(B3)&amp;"일"</f>
        <v>U2-9일</v>
      </c>
      <c r="N3" s="74"/>
      <c r="O3" s="75" t="s">
        <v>304</v>
      </c>
      <c r="P3" s="147">
        <v>69.990700000000004</v>
      </c>
      <c r="Q3" s="148">
        <v>1.1997100000000001</v>
      </c>
      <c r="R3" s="147">
        <v>415</v>
      </c>
      <c r="S3" s="147">
        <v>130.56800000000001</v>
      </c>
      <c r="T3" s="148">
        <v>1.83467</v>
      </c>
      <c r="U3" s="147">
        <v>370</v>
      </c>
      <c r="V3" s="147">
        <v>129.82300000000001</v>
      </c>
      <c r="W3" s="148">
        <v>1.48549</v>
      </c>
      <c r="X3" s="147">
        <v>320</v>
      </c>
      <c r="Y3" s="147">
        <v>159.739</v>
      </c>
      <c r="Z3" s="148">
        <v>1.7782500000000001</v>
      </c>
      <c r="AA3" s="147">
        <v>260</v>
      </c>
      <c r="AB3" s="147">
        <v>160.20500000000001</v>
      </c>
      <c r="AC3" s="148">
        <v>1.6235599999999999</v>
      </c>
      <c r="AD3" s="147">
        <v>200</v>
      </c>
      <c r="AE3" s="147">
        <v>159.92500000000001</v>
      </c>
      <c r="AF3" s="148">
        <v>1.8076099999999999</v>
      </c>
      <c r="AG3" s="147">
        <v>140</v>
      </c>
      <c r="AH3" s="76">
        <v>109</v>
      </c>
      <c r="AI3" s="107">
        <v>109.8</v>
      </c>
      <c r="AJ3" s="79">
        <v>117</v>
      </c>
      <c r="AK3" s="77">
        <v>118.7</v>
      </c>
      <c r="AL3" s="76">
        <v>127</v>
      </c>
      <c r="AM3" s="107">
        <v>127.5</v>
      </c>
      <c r="AN3" s="79">
        <v>135</v>
      </c>
      <c r="AO3" s="77">
        <v>135.69999999999999</v>
      </c>
      <c r="AP3" s="76">
        <v>144</v>
      </c>
      <c r="AQ3" s="107">
        <v>144.9</v>
      </c>
      <c r="AR3" s="79">
        <v>152</v>
      </c>
      <c r="AS3" s="97">
        <v>153.5</v>
      </c>
      <c r="AT3" s="82" t="str">
        <f t="shared" si="0"/>
        <v>U</v>
      </c>
      <c r="AU3" s="85"/>
      <c r="AV3" s="84" t="str">
        <f t="shared" si="1"/>
        <v>2025-03-09-7호방-316LDS1-N33671</v>
      </c>
    </row>
    <row r="4" spans="1:48" s="82" customFormat="1" x14ac:dyDescent="0.4">
      <c r="A4" s="73">
        <v>39</v>
      </c>
      <c r="B4" s="74" t="s">
        <v>78</v>
      </c>
      <c r="C4" s="74" t="s">
        <v>111</v>
      </c>
      <c r="D4" s="74">
        <v>1</v>
      </c>
      <c r="E4" s="74" t="s">
        <v>182</v>
      </c>
      <c r="F4" s="74" t="s">
        <v>41</v>
      </c>
      <c r="G4" s="74">
        <v>267</v>
      </c>
      <c r="H4" s="74" t="s">
        <v>78</v>
      </c>
      <c r="I4" s="74" t="s">
        <v>223</v>
      </c>
      <c r="J4" s="74" t="s">
        <v>78</v>
      </c>
      <c r="K4" s="74" t="s">
        <v>224</v>
      </c>
      <c r="L4" s="75" t="s">
        <v>12</v>
      </c>
      <c r="M4" s="73" t="str">
        <f t="shared" si="2"/>
        <v>U3-9일</v>
      </c>
      <c r="N4" s="74"/>
      <c r="O4" s="75" t="s">
        <v>304</v>
      </c>
      <c r="P4" s="147">
        <v>60.764200000000002</v>
      </c>
      <c r="Q4" s="148">
        <v>1.2978799999999999</v>
      </c>
      <c r="R4" s="147">
        <v>415</v>
      </c>
      <c r="S4" s="147">
        <v>149.39400000000001</v>
      </c>
      <c r="T4" s="148">
        <v>1.7062299999999999</v>
      </c>
      <c r="U4" s="147">
        <v>370</v>
      </c>
      <c r="V4" s="147">
        <v>128.239</v>
      </c>
      <c r="W4" s="148">
        <v>1.35568</v>
      </c>
      <c r="X4" s="147">
        <v>320</v>
      </c>
      <c r="Y4" s="147">
        <v>160.48500000000001</v>
      </c>
      <c r="Z4" s="148">
        <v>1.73834</v>
      </c>
      <c r="AA4" s="147">
        <v>260</v>
      </c>
      <c r="AB4" s="147">
        <v>159.36600000000001</v>
      </c>
      <c r="AC4" s="148">
        <v>1.6602600000000001</v>
      </c>
      <c r="AD4" s="147">
        <v>200</v>
      </c>
      <c r="AE4" s="147">
        <v>158.714</v>
      </c>
      <c r="AF4" s="148">
        <v>1.7351300000000001</v>
      </c>
      <c r="AG4" s="147">
        <v>140</v>
      </c>
      <c r="AH4" s="76">
        <v>111</v>
      </c>
      <c r="AI4" s="107">
        <v>111.6</v>
      </c>
      <c r="AJ4" s="79">
        <v>119</v>
      </c>
      <c r="AK4" s="77">
        <v>120.7</v>
      </c>
      <c r="AL4" s="76">
        <v>129</v>
      </c>
      <c r="AM4" s="107">
        <v>129.30000000000001</v>
      </c>
      <c r="AN4" s="79">
        <v>136</v>
      </c>
      <c r="AO4" s="77">
        <v>137.6</v>
      </c>
      <c r="AP4" s="76">
        <v>145</v>
      </c>
      <c r="AQ4" s="107">
        <v>145.9</v>
      </c>
      <c r="AR4" s="79">
        <v>154</v>
      </c>
      <c r="AS4" s="97">
        <v>154.9</v>
      </c>
      <c r="AT4" s="82" t="str">
        <f t="shared" si="0"/>
        <v>U</v>
      </c>
      <c r="AU4" s="85"/>
      <c r="AV4" s="84" t="str">
        <f t="shared" si="1"/>
        <v>2025-03-09-7호방-316LDS1-N33671</v>
      </c>
    </row>
    <row r="5" spans="1:48" s="82" customFormat="1" x14ac:dyDescent="0.4">
      <c r="A5" s="73">
        <v>40</v>
      </c>
      <c r="B5" s="74" t="s">
        <v>78</v>
      </c>
      <c r="C5" s="74" t="s">
        <v>112</v>
      </c>
      <c r="D5" s="74">
        <v>1</v>
      </c>
      <c r="E5" s="74" t="s">
        <v>182</v>
      </c>
      <c r="F5" s="74" t="s">
        <v>41</v>
      </c>
      <c r="G5" s="74">
        <v>267</v>
      </c>
      <c r="H5" s="74" t="s">
        <v>78</v>
      </c>
      <c r="I5" s="74" t="s">
        <v>224</v>
      </c>
      <c r="J5" s="74" t="s">
        <v>78</v>
      </c>
      <c r="K5" s="74" t="s">
        <v>225</v>
      </c>
      <c r="L5" s="75" t="s">
        <v>13</v>
      </c>
      <c r="M5" s="73" t="str">
        <f t="shared" si="2"/>
        <v>U4-9일</v>
      </c>
      <c r="N5" s="74"/>
      <c r="O5" s="75" t="s">
        <v>304</v>
      </c>
      <c r="P5" s="147">
        <v>56.104399999999998</v>
      </c>
      <c r="Q5" s="148">
        <v>1.2221900000000001</v>
      </c>
      <c r="R5" s="147">
        <v>415</v>
      </c>
      <c r="S5" s="147">
        <v>146.13200000000001</v>
      </c>
      <c r="T5" s="148">
        <v>2.0209100000000002</v>
      </c>
      <c r="U5" s="147">
        <v>370</v>
      </c>
      <c r="V5" s="147">
        <v>122.554</v>
      </c>
      <c r="W5" s="148">
        <v>1.5804499999999999</v>
      </c>
      <c r="X5" s="147">
        <v>320</v>
      </c>
      <c r="Y5" s="147">
        <v>152.749</v>
      </c>
      <c r="Z5" s="148">
        <v>1.7755000000000001</v>
      </c>
      <c r="AA5" s="147">
        <v>260</v>
      </c>
      <c r="AB5" s="147">
        <v>155.26599999999999</v>
      </c>
      <c r="AC5" s="148">
        <v>1.62035</v>
      </c>
      <c r="AD5" s="147">
        <v>200</v>
      </c>
      <c r="AE5" s="147">
        <v>166.07599999999999</v>
      </c>
      <c r="AF5" s="148">
        <v>1.5713699999999999</v>
      </c>
      <c r="AG5" s="147">
        <v>140</v>
      </c>
      <c r="AH5" s="76">
        <v>111</v>
      </c>
      <c r="AI5" s="107">
        <v>111.3</v>
      </c>
      <c r="AJ5" s="79">
        <v>119</v>
      </c>
      <c r="AK5" s="77">
        <v>119.8</v>
      </c>
      <c r="AL5" s="76">
        <v>128</v>
      </c>
      <c r="AM5" s="107">
        <v>128.30000000000001</v>
      </c>
      <c r="AN5" s="79">
        <v>136</v>
      </c>
      <c r="AO5" s="77">
        <v>136.6</v>
      </c>
      <c r="AP5" s="76">
        <v>145</v>
      </c>
      <c r="AQ5" s="107">
        <v>145.4</v>
      </c>
      <c r="AR5" s="79">
        <v>153</v>
      </c>
      <c r="AS5" s="97">
        <v>154.19999999999999</v>
      </c>
      <c r="AT5" s="82" t="str">
        <f t="shared" si="0"/>
        <v>U</v>
      </c>
      <c r="AU5" s="85"/>
      <c r="AV5" s="84" t="str">
        <f t="shared" si="1"/>
        <v>2025-03-09-7호방-316LDS1-N33671</v>
      </c>
    </row>
    <row r="6" spans="1:48" s="82" customFormat="1" x14ac:dyDescent="0.4">
      <c r="A6" s="73">
        <v>41</v>
      </c>
      <c r="B6" s="74" t="s">
        <v>78</v>
      </c>
      <c r="C6" s="74" t="s">
        <v>113</v>
      </c>
      <c r="D6" s="74">
        <v>1</v>
      </c>
      <c r="E6" s="74" t="s">
        <v>182</v>
      </c>
      <c r="F6" s="74" t="s">
        <v>41</v>
      </c>
      <c r="G6" s="74">
        <v>267</v>
      </c>
      <c r="H6" s="74" t="s">
        <v>78</v>
      </c>
      <c r="I6" s="74" t="s">
        <v>225</v>
      </c>
      <c r="J6" s="74" t="s">
        <v>78</v>
      </c>
      <c r="K6" s="74" t="s">
        <v>226</v>
      </c>
      <c r="L6" s="75" t="s">
        <v>14</v>
      </c>
      <c r="M6" s="73" t="str">
        <f t="shared" si="2"/>
        <v>U5-9일</v>
      </c>
      <c r="N6" s="74"/>
      <c r="O6" s="75" t="s">
        <v>304</v>
      </c>
      <c r="P6" s="147">
        <v>65.144499999999994</v>
      </c>
      <c r="Q6" s="148">
        <v>1.2556799999999999</v>
      </c>
      <c r="R6" s="147">
        <v>415</v>
      </c>
      <c r="S6" s="147">
        <v>133.27099999999999</v>
      </c>
      <c r="T6" s="148">
        <v>1.7672399999999999</v>
      </c>
      <c r="U6" s="147">
        <v>370</v>
      </c>
      <c r="V6" s="147">
        <v>120.596</v>
      </c>
      <c r="W6" s="148">
        <v>1.70384</v>
      </c>
      <c r="X6" s="147">
        <v>320</v>
      </c>
      <c r="Y6" s="147">
        <v>155.35900000000001</v>
      </c>
      <c r="Z6" s="148">
        <v>1.81403</v>
      </c>
      <c r="AA6" s="147">
        <v>260</v>
      </c>
      <c r="AB6" s="147">
        <v>149.11500000000001</v>
      </c>
      <c r="AC6" s="148">
        <v>1.8675999999999999</v>
      </c>
      <c r="AD6" s="147">
        <v>200</v>
      </c>
      <c r="AE6" s="147">
        <v>149.58099999999999</v>
      </c>
      <c r="AF6" s="148">
        <v>1.83972</v>
      </c>
      <c r="AG6" s="147">
        <v>140</v>
      </c>
      <c r="AH6" s="76">
        <v>103</v>
      </c>
      <c r="AI6" s="107">
        <v>103.8</v>
      </c>
      <c r="AJ6" s="79">
        <v>111</v>
      </c>
      <c r="AK6" s="77">
        <v>112.6</v>
      </c>
      <c r="AL6" s="76">
        <v>120</v>
      </c>
      <c r="AM6" s="107">
        <v>121</v>
      </c>
      <c r="AN6" s="79">
        <v>129</v>
      </c>
      <c r="AO6" s="77">
        <v>130</v>
      </c>
      <c r="AP6" s="76">
        <v>138</v>
      </c>
      <c r="AQ6" s="107">
        <v>138.9</v>
      </c>
      <c r="AR6" s="79">
        <v>146</v>
      </c>
      <c r="AS6" s="97">
        <v>147.80000000000001</v>
      </c>
      <c r="AT6" s="82" t="str">
        <f t="shared" si="0"/>
        <v>U</v>
      </c>
      <c r="AU6" s="85"/>
      <c r="AV6" s="84" t="str">
        <f t="shared" si="1"/>
        <v>2025-03-09-7호방-316LDS1-N33671</v>
      </c>
    </row>
    <row r="7" spans="1:48" s="82" customFormat="1" x14ac:dyDescent="0.4">
      <c r="A7" s="73">
        <v>42</v>
      </c>
      <c r="B7" s="74" t="s">
        <v>78</v>
      </c>
      <c r="C7" s="74" t="s">
        <v>114</v>
      </c>
      <c r="D7" s="74">
        <v>1</v>
      </c>
      <c r="E7" s="74" t="s">
        <v>182</v>
      </c>
      <c r="F7" s="74" t="s">
        <v>41</v>
      </c>
      <c r="G7" s="74">
        <v>267</v>
      </c>
      <c r="H7" s="74" t="s">
        <v>78</v>
      </c>
      <c r="I7" s="74" t="s">
        <v>227</v>
      </c>
      <c r="J7" s="74" t="s">
        <v>78</v>
      </c>
      <c r="K7" s="74" t="s">
        <v>228</v>
      </c>
      <c r="L7" s="75" t="s">
        <v>310</v>
      </c>
      <c r="M7" s="73" t="str">
        <f t="shared" si="2"/>
        <v>D1-9일</v>
      </c>
      <c r="N7" s="74"/>
      <c r="O7" s="75" t="s">
        <v>304</v>
      </c>
      <c r="P7" s="147">
        <v>63.373699999999999</v>
      </c>
      <c r="Q7" s="148">
        <v>2.0364100000000001</v>
      </c>
      <c r="R7" s="147">
        <v>415</v>
      </c>
      <c r="S7" s="147">
        <v>111.65</v>
      </c>
      <c r="T7" s="148">
        <v>1.83788</v>
      </c>
      <c r="U7" s="147">
        <v>370</v>
      </c>
      <c r="V7" s="147">
        <v>131.87299999999999</v>
      </c>
      <c r="W7" s="148">
        <v>1.4341200000000001</v>
      </c>
      <c r="X7" s="147">
        <v>320</v>
      </c>
      <c r="Y7" s="147">
        <v>184.529</v>
      </c>
      <c r="Z7" s="148">
        <v>1.4956799999999999</v>
      </c>
      <c r="AA7" s="147">
        <v>260</v>
      </c>
      <c r="AB7" s="147">
        <v>168.96600000000001</v>
      </c>
      <c r="AC7" s="148">
        <v>0.56999999999999995</v>
      </c>
      <c r="AD7" s="147">
        <v>200</v>
      </c>
      <c r="AE7" s="147">
        <v>170.73599999999999</v>
      </c>
      <c r="AF7" s="148">
        <v>2.0222899999999999</v>
      </c>
      <c r="AG7" s="147">
        <v>140</v>
      </c>
      <c r="AH7" s="76">
        <v>135</v>
      </c>
      <c r="AI7" s="107">
        <v>136.1</v>
      </c>
      <c r="AJ7" s="79">
        <v>144</v>
      </c>
      <c r="AK7" s="77">
        <v>149.80000000000001</v>
      </c>
      <c r="AL7" s="76">
        <v>162</v>
      </c>
      <c r="AM7" s="107">
        <v>172.1</v>
      </c>
      <c r="AN7" s="79">
        <v>180</v>
      </c>
      <c r="AO7" s="77">
        <v>182.1</v>
      </c>
      <c r="AP7" s="76">
        <v>196</v>
      </c>
      <c r="AQ7" s="107">
        <v>199.2</v>
      </c>
      <c r="AR7" s="79">
        <v>209</v>
      </c>
      <c r="AS7" s="97">
        <v>209.7</v>
      </c>
      <c r="AT7" s="82" t="str">
        <f t="shared" si="0"/>
        <v>D</v>
      </c>
      <c r="AU7" s="85"/>
      <c r="AV7" s="84" t="str">
        <f t="shared" si="1"/>
        <v>2025-03-09-7호방-316LDS1-N33671</v>
      </c>
    </row>
    <row r="8" spans="1:48" s="82" customFormat="1" x14ac:dyDescent="0.4">
      <c r="A8" s="73">
        <v>43</v>
      </c>
      <c r="B8" s="74" t="s">
        <v>78</v>
      </c>
      <c r="C8" s="74" t="s">
        <v>115</v>
      </c>
      <c r="D8" s="74">
        <v>1</v>
      </c>
      <c r="E8" s="74" t="s">
        <v>182</v>
      </c>
      <c r="F8" s="74" t="s">
        <v>41</v>
      </c>
      <c r="G8" s="74">
        <v>267</v>
      </c>
      <c r="H8" s="74" t="s">
        <v>78</v>
      </c>
      <c r="I8" s="74" t="s">
        <v>228</v>
      </c>
      <c r="J8" s="74" t="s">
        <v>78</v>
      </c>
      <c r="K8" s="74" t="s">
        <v>229</v>
      </c>
      <c r="L8" s="75" t="s">
        <v>51</v>
      </c>
      <c r="M8" s="73" t="str">
        <f t="shared" si="2"/>
        <v>D2-9일</v>
      </c>
      <c r="N8" s="74"/>
      <c r="O8" s="75" t="s">
        <v>304</v>
      </c>
      <c r="P8" s="147">
        <v>68.499499999999998</v>
      </c>
      <c r="Q8" s="148">
        <v>1.19513</v>
      </c>
      <c r="R8" s="147">
        <v>415</v>
      </c>
      <c r="S8" s="147">
        <v>150.32599999999999</v>
      </c>
      <c r="T8" s="148">
        <v>1.6388</v>
      </c>
      <c r="U8" s="147">
        <v>370</v>
      </c>
      <c r="V8" s="147">
        <v>153.215</v>
      </c>
      <c r="W8" s="148">
        <v>1.1130199999999999</v>
      </c>
      <c r="X8" s="147">
        <v>320</v>
      </c>
      <c r="Y8" s="147">
        <v>159.459</v>
      </c>
      <c r="Z8" s="148">
        <v>1.9663200000000001</v>
      </c>
      <c r="AA8" s="147">
        <v>260</v>
      </c>
      <c r="AB8" s="147">
        <v>163.46700000000001</v>
      </c>
      <c r="AC8" s="148">
        <v>1.6845699999999999</v>
      </c>
      <c r="AD8" s="147">
        <v>200</v>
      </c>
      <c r="AE8" s="147">
        <v>203.262</v>
      </c>
      <c r="AF8" s="148">
        <v>1.47183</v>
      </c>
      <c r="AG8" s="147">
        <v>140</v>
      </c>
      <c r="AH8" s="76">
        <v>114</v>
      </c>
      <c r="AI8" s="107">
        <v>119.2</v>
      </c>
      <c r="AJ8" s="79">
        <v>130</v>
      </c>
      <c r="AK8" s="77">
        <v>146.80000000000001</v>
      </c>
      <c r="AL8" s="76">
        <v>161</v>
      </c>
      <c r="AM8" s="107">
        <v>163.5</v>
      </c>
      <c r="AN8" s="79">
        <v>170</v>
      </c>
      <c r="AO8" s="77">
        <v>171.7</v>
      </c>
      <c r="AP8" s="76">
        <v>190</v>
      </c>
      <c r="AQ8" s="107">
        <v>191.1</v>
      </c>
      <c r="AR8" s="79">
        <v>200</v>
      </c>
      <c r="AS8" s="97">
        <v>201.8</v>
      </c>
      <c r="AT8" s="82" t="str">
        <f t="shared" si="0"/>
        <v>D</v>
      </c>
      <c r="AU8" s="85"/>
      <c r="AV8" s="84" t="str">
        <f t="shared" si="1"/>
        <v>2025-03-09-7호방-316LDS1-N33671</v>
      </c>
    </row>
    <row r="9" spans="1:48" s="82" customFormat="1" x14ac:dyDescent="0.4">
      <c r="A9" s="73">
        <v>44</v>
      </c>
      <c r="B9" s="74" t="s">
        <v>78</v>
      </c>
      <c r="C9" s="74" t="s">
        <v>116</v>
      </c>
      <c r="D9" s="74">
        <v>1</v>
      </c>
      <c r="E9" s="74" t="s">
        <v>182</v>
      </c>
      <c r="F9" s="74" t="s">
        <v>41</v>
      </c>
      <c r="G9" s="74">
        <v>267</v>
      </c>
      <c r="H9" s="74" t="s">
        <v>78</v>
      </c>
      <c r="I9" s="74" t="s">
        <v>229</v>
      </c>
      <c r="J9" s="74" t="s">
        <v>78</v>
      </c>
      <c r="K9" s="74" t="s">
        <v>230</v>
      </c>
      <c r="L9" s="75" t="s">
        <v>52</v>
      </c>
      <c r="M9" s="73" t="str">
        <f t="shared" si="2"/>
        <v>D3-9일</v>
      </c>
      <c r="N9" s="74"/>
      <c r="O9" s="75" t="s">
        <v>304</v>
      </c>
      <c r="P9" s="147">
        <v>48.835000000000001</v>
      </c>
      <c r="Q9" s="148">
        <v>1.4662299999999999</v>
      </c>
      <c r="R9" s="147">
        <v>415</v>
      </c>
      <c r="S9" s="147">
        <v>109.133</v>
      </c>
      <c r="T9" s="148">
        <v>1.75119</v>
      </c>
      <c r="U9" s="147">
        <v>370</v>
      </c>
      <c r="V9" s="147">
        <v>126.747</v>
      </c>
      <c r="W9" s="148">
        <v>1.4676</v>
      </c>
      <c r="X9" s="147">
        <v>320</v>
      </c>
      <c r="Y9" s="147">
        <v>158.24799999999999</v>
      </c>
      <c r="Z9" s="148">
        <v>1.7589900000000001</v>
      </c>
      <c r="AA9" s="147">
        <v>260</v>
      </c>
      <c r="AB9" s="147">
        <v>163.09399999999999</v>
      </c>
      <c r="AC9" s="148">
        <v>1.56898</v>
      </c>
      <c r="AD9" s="147">
        <v>200</v>
      </c>
      <c r="AE9" s="147">
        <v>173.81200000000001</v>
      </c>
      <c r="AF9" s="148">
        <v>1.6149500000000001</v>
      </c>
      <c r="AG9" s="147">
        <v>140</v>
      </c>
      <c r="AH9" s="76">
        <v>126</v>
      </c>
      <c r="AI9" s="107">
        <v>126.3</v>
      </c>
      <c r="AJ9" s="79">
        <v>135</v>
      </c>
      <c r="AK9" s="77">
        <v>138.1</v>
      </c>
      <c r="AL9" s="76">
        <v>153</v>
      </c>
      <c r="AM9" s="107">
        <v>153.6</v>
      </c>
      <c r="AN9" s="79">
        <v>161</v>
      </c>
      <c r="AO9" s="77">
        <v>162.9</v>
      </c>
      <c r="AP9" s="76">
        <v>173</v>
      </c>
      <c r="AQ9" s="107">
        <v>174.3</v>
      </c>
      <c r="AR9" s="79">
        <v>183</v>
      </c>
      <c r="AS9" s="97">
        <v>185.5</v>
      </c>
      <c r="AT9" s="82" t="str">
        <f t="shared" si="0"/>
        <v>D</v>
      </c>
      <c r="AU9" s="85"/>
      <c r="AV9" s="84" t="str">
        <f t="shared" si="1"/>
        <v>2025-03-09-7호방-316LDS1-N33671</v>
      </c>
    </row>
    <row r="10" spans="1:48" s="82" customFormat="1" x14ac:dyDescent="0.4">
      <c r="A10" s="73">
        <v>45</v>
      </c>
      <c r="B10" s="74" t="s">
        <v>78</v>
      </c>
      <c r="C10" s="74" t="s">
        <v>117</v>
      </c>
      <c r="D10" s="74">
        <v>1</v>
      </c>
      <c r="E10" s="74" t="s">
        <v>182</v>
      </c>
      <c r="F10" s="74" t="s">
        <v>41</v>
      </c>
      <c r="G10" s="74">
        <v>267</v>
      </c>
      <c r="H10" s="74" t="s">
        <v>78</v>
      </c>
      <c r="I10" s="74" t="s">
        <v>230</v>
      </c>
      <c r="J10" s="74" t="s">
        <v>78</v>
      </c>
      <c r="K10" s="74" t="s">
        <v>231</v>
      </c>
      <c r="L10" s="75" t="s">
        <v>53</v>
      </c>
      <c r="M10" s="73" t="str">
        <f t="shared" si="2"/>
        <v>D4-9일</v>
      </c>
      <c r="N10" s="74"/>
      <c r="O10" s="75" t="s">
        <v>304</v>
      </c>
      <c r="P10" s="147">
        <v>66.542400000000001</v>
      </c>
      <c r="Q10" s="148">
        <v>1.3199000000000001</v>
      </c>
      <c r="R10" s="147">
        <v>415</v>
      </c>
      <c r="S10" s="147">
        <v>116.869</v>
      </c>
      <c r="T10" s="148">
        <v>1.6227499999999999</v>
      </c>
      <c r="U10" s="147">
        <v>370</v>
      </c>
      <c r="V10" s="147">
        <v>133.92400000000001</v>
      </c>
      <c r="W10" s="148">
        <v>1.4712700000000001</v>
      </c>
      <c r="X10" s="147">
        <v>320</v>
      </c>
      <c r="Y10" s="147">
        <v>171.202</v>
      </c>
      <c r="Z10" s="148">
        <v>1.55853</v>
      </c>
      <c r="AA10" s="147">
        <v>260</v>
      </c>
      <c r="AB10" s="147">
        <v>186.20699999999999</v>
      </c>
      <c r="AC10" s="148">
        <v>1.2556799999999999</v>
      </c>
      <c r="AD10" s="147">
        <v>200</v>
      </c>
      <c r="AE10" s="147">
        <v>174.744</v>
      </c>
      <c r="AF10" s="148">
        <v>1.5507299999999999</v>
      </c>
      <c r="AG10" s="147">
        <v>140</v>
      </c>
      <c r="AH10" s="76">
        <v>121</v>
      </c>
      <c r="AI10" s="107">
        <v>122.2</v>
      </c>
      <c r="AJ10" s="79">
        <v>130</v>
      </c>
      <c r="AK10" s="77">
        <v>132.19999999999999</v>
      </c>
      <c r="AL10" s="76">
        <v>149</v>
      </c>
      <c r="AM10" s="107">
        <v>150.5</v>
      </c>
      <c r="AN10" s="79">
        <v>158</v>
      </c>
      <c r="AO10" s="77">
        <v>160.69999999999999</v>
      </c>
      <c r="AP10" s="76">
        <v>171</v>
      </c>
      <c r="AQ10" s="107">
        <v>173.2</v>
      </c>
      <c r="AR10" s="79">
        <v>182</v>
      </c>
      <c r="AS10" s="97">
        <v>186.4</v>
      </c>
      <c r="AT10" s="82" t="str">
        <f t="shared" si="0"/>
        <v>D</v>
      </c>
      <c r="AU10" s="85"/>
      <c r="AV10" s="84" t="str">
        <f t="shared" si="1"/>
        <v>2025-03-09-7호방-316LDS1-N33671</v>
      </c>
    </row>
    <row r="11" spans="1:48" s="82" customFormat="1" x14ac:dyDescent="0.4">
      <c r="A11" s="73">
        <v>46</v>
      </c>
      <c r="B11" s="74" t="s">
        <v>78</v>
      </c>
      <c r="C11" s="74" t="s">
        <v>118</v>
      </c>
      <c r="D11" s="74">
        <v>1</v>
      </c>
      <c r="E11" s="74" t="s">
        <v>182</v>
      </c>
      <c r="F11" s="74" t="s">
        <v>41</v>
      </c>
      <c r="G11" s="74">
        <v>267</v>
      </c>
      <c r="H11" s="74" t="s">
        <v>78</v>
      </c>
      <c r="I11" s="74" t="s">
        <v>231</v>
      </c>
      <c r="J11" s="74" t="s">
        <v>78</v>
      </c>
      <c r="K11" s="74" t="s">
        <v>232</v>
      </c>
      <c r="L11" s="75" t="s">
        <v>54</v>
      </c>
      <c r="M11" s="73" t="str">
        <f t="shared" si="2"/>
        <v>D5-9일</v>
      </c>
      <c r="N11" s="74"/>
      <c r="O11" s="75" t="s">
        <v>304</v>
      </c>
      <c r="P11" s="147">
        <v>62.255400000000002</v>
      </c>
      <c r="Q11" s="148">
        <v>1.5465</v>
      </c>
      <c r="R11" s="147">
        <v>415</v>
      </c>
      <c r="S11" s="147">
        <v>112.395</v>
      </c>
      <c r="T11" s="148">
        <v>1.54064</v>
      </c>
      <c r="U11" s="147">
        <v>370</v>
      </c>
      <c r="V11" s="147">
        <v>132.15299999999999</v>
      </c>
      <c r="W11" s="148">
        <v>1.5272399999999999</v>
      </c>
      <c r="X11" s="147">
        <v>320</v>
      </c>
      <c r="Y11" s="147">
        <v>170.084</v>
      </c>
      <c r="Z11" s="148">
        <v>1.5507299999999999</v>
      </c>
      <c r="AA11" s="147">
        <v>260</v>
      </c>
      <c r="AB11" s="147">
        <v>177.81899999999999</v>
      </c>
      <c r="AC11" s="148">
        <v>1.37632</v>
      </c>
      <c r="AD11" s="147">
        <v>200</v>
      </c>
      <c r="AE11" s="147">
        <v>176.51400000000001</v>
      </c>
      <c r="AF11" s="148">
        <v>1.52779</v>
      </c>
      <c r="AG11" s="147">
        <v>140</v>
      </c>
      <c r="AH11" s="76">
        <v>111</v>
      </c>
      <c r="AI11" s="107">
        <v>114</v>
      </c>
      <c r="AJ11" s="79">
        <v>123</v>
      </c>
      <c r="AK11" s="77">
        <v>127.3</v>
      </c>
      <c r="AL11" s="76">
        <v>144</v>
      </c>
      <c r="AM11" s="107">
        <v>145.1</v>
      </c>
      <c r="AN11" s="79">
        <v>155</v>
      </c>
      <c r="AO11" s="77">
        <v>157.19999999999999</v>
      </c>
      <c r="AP11" s="76">
        <v>167</v>
      </c>
      <c r="AQ11" s="107">
        <v>168.5</v>
      </c>
      <c r="AR11" s="79">
        <v>176</v>
      </c>
      <c r="AS11" s="97">
        <v>177.8</v>
      </c>
      <c r="AT11" s="82" t="str">
        <f t="shared" si="0"/>
        <v>D</v>
      </c>
      <c r="AU11" s="85"/>
      <c r="AV11" s="84" t="str">
        <f t="shared" si="1"/>
        <v>2025-03-09-7호방-316LDS1-N33671</v>
      </c>
    </row>
    <row r="12" spans="1:48" s="92" customFormat="1" x14ac:dyDescent="0.2">
      <c r="A12" s="86">
        <v>65</v>
      </c>
      <c r="B12" s="87" t="s">
        <v>80</v>
      </c>
      <c r="C12" s="87" t="s">
        <v>136</v>
      </c>
      <c r="D12" s="87">
        <v>1</v>
      </c>
      <c r="E12" s="87" t="s">
        <v>185</v>
      </c>
      <c r="F12" s="87" t="s">
        <v>41</v>
      </c>
      <c r="G12" s="87">
        <v>270</v>
      </c>
      <c r="H12" s="87" t="s">
        <v>80</v>
      </c>
      <c r="I12" s="87" t="s">
        <v>256</v>
      </c>
      <c r="J12" s="87" t="s">
        <v>80</v>
      </c>
      <c r="K12" s="87" t="s">
        <v>257</v>
      </c>
      <c r="L12" s="88" t="s">
        <v>307</v>
      </c>
      <c r="M12" s="86" t="str">
        <f t="shared" si="2"/>
        <v>U1-15일</v>
      </c>
      <c r="N12" s="87"/>
      <c r="O12" s="88" t="s">
        <v>304</v>
      </c>
      <c r="P12" s="141">
        <v>50.512599999999999</v>
      </c>
      <c r="Q12" s="142">
        <v>1.3</v>
      </c>
      <c r="R12" s="141">
        <v>415</v>
      </c>
      <c r="S12" s="141">
        <v>108.854</v>
      </c>
      <c r="T12" s="142">
        <v>1.3</v>
      </c>
      <c r="U12" s="141">
        <v>370</v>
      </c>
      <c r="V12" s="141">
        <v>124.884</v>
      </c>
      <c r="W12" s="142">
        <v>0.54400000000000004</v>
      </c>
      <c r="X12" s="141">
        <v>320</v>
      </c>
      <c r="Y12" s="141">
        <v>178.09899999999999</v>
      </c>
      <c r="Z12" s="142">
        <v>0.56000000000000005</v>
      </c>
      <c r="AA12" s="141">
        <v>260</v>
      </c>
      <c r="AB12" s="141">
        <v>164.02600000000001</v>
      </c>
      <c r="AC12" s="142">
        <v>0.56999999999999995</v>
      </c>
      <c r="AD12" s="141">
        <v>200</v>
      </c>
      <c r="AE12" s="141">
        <v>174.37100000000001</v>
      </c>
      <c r="AF12" s="142">
        <v>1.518</v>
      </c>
      <c r="AG12" s="141">
        <v>140</v>
      </c>
      <c r="AH12" s="89">
        <v>121</v>
      </c>
      <c r="AI12" s="108">
        <v>121</v>
      </c>
      <c r="AJ12" s="91">
        <v>130</v>
      </c>
      <c r="AK12" s="90">
        <v>131.19999999999999</v>
      </c>
      <c r="AL12" s="89">
        <v>144</v>
      </c>
      <c r="AM12" s="108">
        <v>146.1</v>
      </c>
      <c r="AN12" s="91">
        <v>159</v>
      </c>
      <c r="AO12" s="90">
        <v>162.30000000000001</v>
      </c>
      <c r="AP12" s="89">
        <v>176</v>
      </c>
      <c r="AQ12" s="108">
        <v>178</v>
      </c>
      <c r="AR12" s="91">
        <v>188</v>
      </c>
      <c r="AS12" s="98">
        <v>188.5</v>
      </c>
      <c r="AT12" s="82" t="str">
        <f t="shared" si="0"/>
        <v>U</v>
      </c>
      <c r="AU12" s="93" t="s">
        <v>322</v>
      </c>
      <c r="AV12" s="94" t="str">
        <f t="shared" si="1"/>
        <v>2025-03-15-7호방-316LDS1-N33842</v>
      </c>
    </row>
    <row r="13" spans="1:48" s="92" customFormat="1" x14ac:dyDescent="0.25">
      <c r="A13" s="86">
        <v>66</v>
      </c>
      <c r="B13" s="87" t="s">
        <v>80</v>
      </c>
      <c r="C13" s="87" t="s">
        <v>137</v>
      </c>
      <c r="D13" s="87">
        <v>1</v>
      </c>
      <c r="E13" s="87" t="s">
        <v>185</v>
      </c>
      <c r="F13" s="87" t="s">
        <v>41</v>
      </c>
      <c r="G13" s="87">
        <v>270</v>
      </c>
      <c r="H13" s="87" t="s">
        <v>80</v>
      </c>
      <c r="I13" s="87" t="s">
        <v>258</v>
      </c>
      <c r="J13" s="87" t="s">
        <v>80</v>
      </c>
      <c r="K13" s="87" t="s">
        <v>259</v>
      </c>
      <c r="L13" s="88" t="s">
        <v>309</v>
      </c>
      <c r="M13" s="86" t="str">
        <f t="shared" si="2"/>
        <v>U2-15일</v>
      </c>
      <c r="N13" s="87"/>
      <c r="O13" s="88" t="s">
        <v>304</v>
      </c>
      <c r="P13" s="141">
        <v>48.2759</v>
      </c>
      <c r="Q13" s="142">
        <v>1.3</v>
      </c>
      <c r="R13" s="141">
        <v>415</v>
      </c>
      <c r="S13" s="141">
        <v>104.846</v>
      </c>
      <c r="T13" s="142">
        <v>1.3</v>
      </c>
      <c r="U13" s="141">
        <v>370</v>
      </c>
      <c r="V13" s="141">
        <v>121.994</v>
      </c>
      <c r="W13" s="142">
        <v>0.54400000000000004</v>
      </c>
      <c r="X13" s="141">
        <v>320</v>
      </c>
      <c r="Y13" s="141">
        <v>172.227</v>
      </c>
      <c r="Z13" s="142">
        <v>0.56000000000000005</v>
      </c>
      <c r="AA13" s="141">
        <v>260</v>
      </c>
      <c r="AB13" s="141">
        <v>159.459</v>
      </c>
      <c r="AC13" s="142">
        <v>0.56999999999999995</v>
      </c>
      <c r="AD13" s="141">
        <v>200</v>
      </c>
      <c r="AE13" s="141">
        <v>169.52500000000001</v>
      </c>
      <c r="AF13" s="142">
        <v>1.518</v>
      </c>
      <c r="AG13" s="141">
        <v>140</v>
      </c>
      <c r="AH13" s="89">
        <v>111</v>
      </c>
      <c r="AI13" s="108">
        <v>111.5</v>
      </c>
      <c r="AJ13" s="91">
        <v>120</v>
      </c>
      <c r="AK13" s="90">
        <v>121.4</v>
      </c>
      <c r="AL13" s="89">
        <v>135</v>
      </c>
      <c r="AM13" s="108">
        <v>136.30000000000001</v>
      </c>
      <c r="AN13" s="91">
        <v>148</v>
      </c>
      <c r="AO13" s="90">
        <v>151.9</v>
      </c>
      <c r="AP13" s="89">
        <v>165</v>
      </c>
      <c r="AQ13" s="108">
        <v>167.3</v>
      </c>
      <c r="AR13" s="91">
        <v>176</v>
      </c>
      <c r="AS13" s="98">
        <v>177.4</v>
      </c>
      <c r="AT13" s="82" t="str">
        <f t="shared" si="0"/>
        <v>U</v>
      </c>
      <c r="AU13" s="95"/>
      <c r="AV13" s="94" t="str">
        <f t="shared" si="1"/>
        <v>2025-03-15-7호방-316LDS1-N33842</v>
      </c>
    </row>
    <row r="14" spans="1:48" s="92" customFormat="1" x14ac:dyDescent="0.25">
      <c r="A14" s="86">
        <v>67</v>
      </c>
      <c r="B14" s="87" t="s">
        <v>80</v>
      </c>
      <c r="C14" s="87" t="s">
        <v>138</v>
      </c>
      <c r="D14" s="87">
        <v>1</v>
      </c>
      <c r="E14" s="87" t="s">
        <v>185</v>
      </c>
      <c r="F14" s="87" t="s">
        <v>41</v>
      </c>
      <c r="G14" s="87">
        <v>270</v>
      </c>
      <c r="H14" s="87" t="s">
        <v>80</v>
      </c>
      <c r="I14" s="87" t="s">
        <v>259</v>
      </c>
      <c r="J14" s="87" t="s">
        <v>80</v>
      </c>
      <c r="K14" s="87" t="s">
        <v>260</v>
      </c>
      <c r="L14" s="88" t="s">
        <v>12</v>
      </c>
      <c r="M14" s="86" t="str">
        <f t="shared" si="2"/>
        <v>U3-15일</v>
      </c>
      <c r="N14" s="87"/>
      <c r="O14" s="88" t="s">
        <v>304</v>
      </c>
      <c r="P14" s="141">
        <v>46.691499999999998</v>
      </c>
      <c r="Q14" s="142">
        <v>1.3</v>
      </c>
      <c r="R14" s="141">
        <v>415</v>
      </c>
      <c r="S14" s="141">
        <v>103.44799999999999</v>
      </c>
      <c r="T14" s="142">
        <v>1.3</v>
      </c>
      <c r="U14" s="141">
        <v>370</v>
      </c>
      <c r="V14" s="141">
        <v>121.435</v>
      </c>
      <c r="W14" s="142">
        <v>0.54400000000000004</v>
      </c>
      <c r="X14" s="141">
        <v>320</v>
      </c>
      <c r="Y14" s="141">
        <v>179.404</v>
      </c>
      <c r="Z14" s="142">
        <v>0.56000000000000005</v>
      </c>
      <c r="AA14" s="141">
        <v>260</v>
      </c>
      <c r="AB14" s="141">
        <v>158.99299999999999</v>
      </c>
      <c r="AC14" s="142">
        <v>0.56999999999999995</v>
      </c>
      <c r="AD14" s="141">
        <v>200</v>
      </c>
      <c r="AE14" s="141">
        <v>170.45699999999999</v>
      </c>
      <c r="AF14" s="142">
        <v>1.518</v>
      </c>
      <c r="AG14" s="141">
        <v>140</v>
      </c>
      <c r="AH14" s="89">
        <v>111</v>
      </c>
      <c r="AI14" s="108">
        <v>111.2</v>
      </c>
      <c r="AJ14" s="91">
        <v>120</v>
      </c>
      <c r="AK14" s="90">
        <v>121</v>
      </c>
      <c r="AL14" s="89">
        <v>134</v>
      </c>
      <c r="AM14" s="108">
        <v>135.80000000000001</v>
      </c>
      <c r="AN14" s="91">
        <v>148</v>
      </c>
      <c r="AO14" s="90">
        <v>151.9</v>
      </c>
      <c r="AP14" s="89">
        <v>166</v>
      </c>
      <c r="AQ14" s="108">
        <v>167.5</v>
      </c>
      <c r="AR14" s="91">
        <v>177</v>
      </c>
      <c r="AS14" s="98">
        <v>177.8</v>
      </c>
      <c r="AT14" s="82" t="str">
        <f t="shared" si="0"/>
        <v>U</v>
      </c>
      <c r="AU14" s="95"/>
      <c r="AV14" s="94" t="str">
        <f t="shared" si="1"/>
        <v>2025-03-15-7호방-316LDS1-N33842</v>
      </c>
    </row>
    <row r="15" spans="1:48" s="92" customFormat="1" x14ac:dyDescent="0.25">
      <c r="A15" s="86">
        <v>68</v>
      </c>
      <c r="B15" s="87" t="s">
        <v>80</v>
      </c>
      <c r="C15" s="87" t="s">
        <v>139</v>
      </c>
      <c r="D15" s="87">
        <v>1</v>
      </c>
      <c r="E15" s="87" t="s">
        <v>185</v>
      </c>
      <c r="F15" s="87" t="s">
        <v>41</v>
      </c>
      <c r="G15" s="87">
        <v>270</v>
      </c>
      <c r="H15" s="87" t="s">
        <v>80</v>
      </c>
      <c r="I15" s="87" t="s">
        <v>260</v>
      </c>
      <c r="J15" s="87" t="s">
        <v>80</v>
      </c>
      <c r="K15" s="87" t="s">
        <v>261</v>
      </c>
      <c r="L15" s="88" t="s">
        <v>13</v>
      </c>
      <c r="M15" s="86" t="str">
        <f t="shared" si="2"/>
        <v>U4-15일</v>
      </c>
      <c r="N15" s="87"/>
      <c r="O15" s="88" t="s">
        <v>304</v>
      </c>
      <c r="P15" s="141">
        <v>45.200400000000002</v>
      </c>
      <c r="Q15" s="142">
        <v>1.3</v>
      </c>
      <c r="R15" s="141">
        <v>415</v>
      </c>
      <c r="S15" s="141">
        <v>103.262</v>
      </c>
      <c r="T15" s="142">
        <v>1.3</v>
      </c>
      <c r="U15" s="141">
        <v>370</v>
      </c>
      <c r="V15" s="141">
        <v>123.113</v>
      </c>
      <c r="W15" s="142">
        <v>0.54400000000000004</v>
      </c>
      <c r="X15" s="141">
        <v>320</v>
      </c>
      <c r="Y15" s="141">
        <v>174.744</v>
      </c>
      <c r="Z15" s="142">
        <v>0.56000000000000005</v>
      </c>
      <c r="AA15" s="141">
        <v>260</v>
      </c>
      <c r="AB15" s="141">
        <v>161.51</v>
      </c>
      <c r="AC15" s="142">
        <v>0.56999999999999995</v>
      </c>
      <c r="AD15" s="141">
        <v>200</v>
      </c>
      <c r="AE15" s="141">
        <v>174.27799999999999</v>
      </c>
      <c r="AF15" s="142">
        <v>1.518</v>
      </c>
      <c r="AG15" s="141">
        <v>140</v>
      </c>
      <c r="AH15" s="89">
        <v>106</v>
      </c>
      <c r="AI15" s="108">
        <v>106.7</v>
      </c>
      <c r="AJ15" s="91">
        <v>115</v>
      </c>
      <c r="AK15" s="90">
        <v>116.8</v>
      </c>
      <c r="AL15" s="89">
        <v>130</v>
      </c>
      <c r="AM15" s="108">
        <v>131.80000000000001</v>
      </c>
      <c r="AN15" s="91">
        <v>144</v>
      </c>
      <c r="AO15" s="90">
        <v>148</v>
      </c>
      <c r="AP15" s="89">
        <v>162</v>
      </c>
      <c r="AQ15" s="108">
        <v>163.69999999999999</v>
      </c>
      <c r="AR15" s="91">
        <v>173</v>
      </c>
      <c r="AS15" s="98">
        <v>174.1</v>
      </c>
      <c r="AT15" s="82" t="str">
        <f t="shared" si="0"/>
        <v>U</v>
      </c>
      <c r="AU15" s="95"/>
      <c r="AV15" s="94" t="str">
        <f t="shared" si="1"/>
        <v>2025-03-15-7호방-316LDS1-N33842</v>
      </c>
    </row>
    <row r="16" spans="1:48" s="92" customFormat="1" x14ac:dyDescent="0.25">
      <c r="A16" s="86">
        <v>69</v>
      </c>
      <c r="B16" s="87" t="s">
        <v>80</v>
      </c>
      <c r="C16" s="87" t="s">
        <v>140</v>
      </c>
      <c r="D16" s="87">
        <v>1</v>
      </c>
      <c r="E16" s="87" t="s">
        <v>185</v>
      </c>
      <c r="F16" s="87" t="s">
        <v>41</v>
      </c>
      <c r="G16" s="87">
        <v>270</v>
      </c>
      <c r="H16" s="87" t="s">
        <v>80</v>
      </c>
      <c r="I16" s="87" t="s">
        <v>261</v>
      </c>
      <c r="J16" s="87" t="s">
        <v>80</v>
      </c>
      <c r="K16" s="87" t="s">
        <v>262</v>
      </c>
      <c r="L16" s="88" t="s">
        <v>14</v>
      </c>
      <c r="M16" s="86" t="str">
        <f t="shared" si="2"/>
        <v>U5-15일</v>
      </c>
      <c r="N16" s="87"/>
      <c r="O16" s="88" t="s">
        <v>304</v>
      </c>
      <c r="P16" s="141">
        <v>44.641199999999998</v>
      </c>
      <c r="Q16" s="142">
        <v>1.3</v>
      </c>
      <c r="R16" s="141">
        <v>415</v>
      </c>
      <c r="S16" s="141">
        <v>105.033</v>
      </c>
      <c r="T16" s="142">
        <v>1.3</v>
      </c>
      <c r="U16" s="141">
        <v>370</v>
      </c>
      <c r="V16" s="141">
        <v>123.672</v>
      </c>
      <c r="W16" s="142">
        <v>0.54400000000000004</v>
      </c>
      <c r="X16" s="141">
        <v>320</v>
      </c>
      <c r="Y16" s="141">
        <v>184.90199999999999</v>
      </c>
      <c r="Z16" s="142">
        <v>0.56000000000000005</v>
      </c>
      <c r="AA16" s="141">
        <v>260</v>
      </c>
      <c r="AB16" s="141">
        <v>163.28100000000001</v>
      </c>
      <c r="AC16" s="142">
        <v>0.56999999999999995</v>
      </c>
      <c r="AD16" s="141">
        <v>200</v>
      </c>
      <c r="AE16" s="141">
        <v>172.88</v>
      </c>
      <c r="AF16" s="142">
        <v>1.518</v>
      </c>
      <c r="AG16" s="141">
        <v>140</v>
      </c>
      <c r="AH16" s="89">
        <v>107</v>
      </c>
      <c r="AI16" s="108">
        <v>107.9</v>
      </c>
      <c r="AJ16" s="91">
        <v>117</v>
      </c>
      <c r="AK16" s="90">
        <v>118</v>
      </c>
      <c r="AL16" s="89">
        <v>132</v>
      </c>
      <c r="AM16" s="108">
        <v>133.5</v>
      </c>
      <c r="AN16" s="91">
        <v>146</v>
      </c>
      <c r="AO16" s="90">
        <v>149.80000000000001</v>
      </c>
      <c r="AP16" s="89">
        <v>164</v>
      </c>
      <c r="AQ16" s="108">
        <v>165.5</v>
      </c>
      <c r="AR16" s="91">
        <v>175</v>
      </c>
      <c r="AS16" s="98">
        <v>176.3</v>
      </c>
      <c r="AT16" s="82" t="str">
        <f t="shared" si="0"/>
        <v>U</v>
      </c>
      <c r="AU16" s="95"/>
      <c r="AV16" s="94" t="str">
        <f t="shared" si="1"/>
        <v>2025-03-15-7호방-316LDS1-N33842</v>
      </c>
    </row>
    <row r="17" spans="1:48" s="92" customFormat="1" x14ac:dyDescent="0.25">
      <c r="A17" s="86">
        <v>70</v>
      </c>
      <c r="B17" s="87" t="s">
        <v>80</v>
      </c>
      <c r="C17" s="87" t="s">
        <v>141</v>
      </c>
      <c r="D17" s="87">
        <v>1</v>
      </c>
      <c r="E17" s="87" t="s">
        <v>185</v>
      </c>
      <c r="F17" s="87" t="s">
        <v>41</v>
      </c>
      <c r="G17" s="87">
        <v>267</v>
      </c>
      <c r="H17" s="87" t="s">
        <v>80</v>
      </c>
      <c r="I17" s="87" t="s">
        <v>262</v>
      </c>
      <c r="J17" s="87" t="s">
        <v>80</v>
      </c>
      <c r="K17" s="87" t="s">
        <v>263</v>
      </c>
      <c r="L17" s="88" t="s">
        <v>310</v>
      </c>
      <c r="M17" s="86" t="str">
        <f t="shared" si="2"/>
        <v>D1-15일</v>
      </c>
      <c r="N17" s="87"/>
      <c r="O17" s="88" t="s">
        <v>304</v>
      </c>
      <c r="P17" s="141">
        <v>44.641199999999998</v>
      </c>
      <c r="Q17" s="142">
        <v>1.3</v>
      </c>
      <c r="R17" s="141">
        <v>415</v>
      </c>
      <c r="S17" s="141">
        <v>105.312</v>
      </c>
      <c r="T17" s="142">
        <v>1.3</v>
      </c>
      <c r="U17" s="141">
        <v>370</v>
      </c>
      <c r="V17" s="141">
        <v>128.98400000000001</v>
      </c>
      <c r="W17" s="142">
        <v>0.54400000000000004</v>
      </c>
      <c r="X17" s="141">
        <v>320</v>
      </c>
      <c r="Y17" s="141">
        <v>179.59</v>
      </c>
      <c r="Z17" s="142">
        <v>0.56000000000000005</v>
      </c>
      <c r="AA17" s="141">
        <v>260</v>
      </c>
      <c r="AB17" s="141">
        <v>169.804</v>
      </c>
      <c r="AC17" s="142">
        <v>0.56999999999999995</v>
      </c>
      <c r="AD17" s="141">
        <v>200</v>
      </c>
      <c r="AE17" s="141">
        <v>178.09899999999999</v>
      </c>
      <c r="AF17" s="142">
        <v>1.518</v>
      </c>
      <c r="AG17" s="141">
        <v>140</v>
      </c>
      <c r="AH17" s="89">
        <v>101</v>
      </c>
      <c r="AI17" s="108">
        <v>102</v>
      </c>
      <c r="AJ17" s="91">
        <v>110</v>
      </c>
      <c r="AK17" s="90">
        <v>112</v>
      </c>
      <c r="AL17" s="89">
        <v>126</v>
      </c>
      <c r="AM17" s="108">
        <v>127.8</v>
      </c>
      <c r="AN17" s="91">
        <v>141</v>
      </c>
      <c r="AO17" s="90">
        <v>144.80000000000001</v>
      </c>
      <c r="AP17" s="89">
        <v>159</v>
      </c>
      <c r="AQ17" s="108">
        <v>160.69999999999999</v>
      </c>
      <c r="AR17" s="91">
        <v>170</v>
      </c>
      <c r="AS17" s="98">
        <v>170.8</v>
      </c>
      <c r="AT17" s="82" t="str">
        <f t="shared" si="0"/>
        <v>D</v>
      </c>
      <c r="AU17" s="95"/>
      <c r="AV17" s="94" t="str">
        <f t="shared" si="1"/>
        <v>2025-03-15-7호방-316LDS1-N33842</v>
      </c>
    </row>
    <row r="18" spans="1:48" s="92" customFormat="1" x14ac:dyDescent="0.25">
      <c r="A18" s="86">
        <v>71</v>
      </c>
      <c r="B18" s="87" t="s">
        <v>80</v>
      </c>
      <c r="C18" s="87" t="s">
        <v>142</v>
      </c>
      <c r="D18" s="87">
        <v>1</v>
      </c>
      <c r="E18" s="87" t="s">
        <v>185</v>
      </c>
      <c r="F18" s="87" t="s">
        <v>41</v>
      </c>
      <c r="G18" s="87">
        <v>267</v>
      </c>
      <c r="H18" s="87" t="s">
        <v>80</v>
      </c>
      <c r="I18" s="87" t="s">
        <v>263</v>
      </c>
      <c r="J18" s="87" t="s">
        <v>80</v>
      </c>
      <c r="K18" s="87" t="s">
        <v>264</v>
      </c>
      <c r="L18" s="88" t="s">
        <v>51</v>
      </c>
      <c r="M18" s="86" t="str">
        <f t="shared" si="2"/>
        <v>D2-15일</v>
      </c>
      <c r="N18" s="87"/>
      <c r="O18" s="88" t="s">
        <v>304</v>
      </c>
      <c r="P18" s="141">
        <v>47.343899999999998</v>
      </c>
      <c r="Q18" s="142">
        <v>1.3</v>
      </c>
      <c r="R18" s="141">
        <v>415</v>
      </c>
      <c r="S18" s="141">
        <v>106.524</v>
      </c>
      <c r="T18" s="142">
        <v>1.3</v>
      </c>
      <c r="U18" s="141">
        <v>370</v>
      </c>
      <c r="V18" s="141">
        <v>128.239</v>
      </c>
      <c r="W18" s="142">
        <v>0.54400000000000004</v>
      </c>
      <c r="X18" s="141">
        <v>320</v>
      </c>
      <c r="Y18" s="141">
        <v>180.149</v>
      </c>
      <c r="Z18" s="142">
        <v>0.56000000000000005</v>
      </c>
      <c r="AA18" s="141">
        <v>260</v>
      </c>
      <c r="AB18" s="141">
        <v>169.059</v>
      </c>
      <c r="AC18" s="142">
        <v>0.56999999999999995</v>
      </c>
      <c r="AD18" s="141">
        <v>200</v>
      </c>
      <c r="AE18" s="141">
        <v>178.84399999999999</v>
      </c>
      <c r="AF18" s="142">
        <v>1.518</v>
      </c>
      <c r="AG18" s="141">
        <v>140</v>
      </c>
      <c r="AH18" s="89">
        <v>99</v>
      </c>
      <c r="AI18" s="108">
        <v>99.9</v>
      </c>
      <c r="AJ18" s="91">
        <v>108</v>
      </c>
      <c r="AK18" s="90">
        <v>109.6</v>
      </c>
      <c r="AL18" s="89">
        <v>123</v>
      </c>
      <c r="AM18" s="108">
        <v>124.5</v>
      </c>
      <c r="AN18" s="91">
        <v>137</v>
      </c>
      <c r="AO18" s="90">
        <v>141.1</v>
      </c>
      <c r="AP18" s="89">
        <v>155</v>
      </c>
      <c r="AQ18" s="108">
        <v>156.4</v>
      </c>
      <c r="AR18" s="91">
        <v>166</v>
      </c>
      <c r="AS18" s="98">
        <v>167.2</v>
      </c>
      <c r="AT18" s="82" t="str">
        <f t="shared" si="0"/>
        <v>D</v>
      </c>
      <c r="AU18" s="95"/>
      <c r="AV18" s="94" t="str">
        <f t="shared" si="1"/>
        <v>2025-03-15-7호방-316LDS1-N33842</v>
      </c>
    </row>
    <row r="19" spans="1:48" s="92" customFormat="1" x14ac:dyDescent="0.25">
      <c r="A19" s="86">
        <v>72</v>
      </c>
      <c r="B19" s="87" t="s">
        <v>80</v>
      </c>
      <c r="C19" s="87" t="s">
        <v>143</v>
      </c>
      <c r="D19" s="87">
        <v>1</v>
      </c>
      <c r="E19" s="87" t="s">
        <v>185</v>
      </c>
      <c r="F19" s="87" t="s">
        <v>41</v>
      </c>
      <c r="G19" s="87">
        <v>267</v>
      </c>
      <c r="H19" s="87" t="s">
        <v>80</v>
      </c>
      <c r="I19" s="87" t="s">
        <v>264</v>
      </c>
      <c r="J19" s="87" t="s">
        <v>80</v>
      </c>
      <c r="K19" s="87" t="s">
        <v>265</v>
      </c>
      <c r="L19" s="88" t="s">
        <v>52</v>
      </c>
      <c r="M19" s="86" t="str">
        <f t="shared" si="2"/>
        <v>D3-15일</v>
      </c>
      <c r="N19" s="87"/>
      <c r="O19" s="88" t="s">
        <v>304</v>
      </c>
      <c r="P19" s="141">
        <v>48.835000000000001</v>
      </c>
      <c r="Q19" s="142">
        <v>1.3</v>
      </c>
      <c r="R19" s="141">
        <v>415</v>
      </c>
      <c r="S19" s="141">
        <v>107.642</v>
      </c>
      <c r="T19" s="142">
        <v>1.3</v>
      </c>
      <c r="U19" s="141">
        <v>370</v>
      </c>
      <c r="V19" s="141">
        <v>129.26400000000001</v>
      </c>
      <c r="W19" s="142">
        <v>0.54400000000000004</v>
      </c>
      <c r="X19" s="141">
        <v>320</v>
      </c>
      <c r="Y19" s="141">
        <v>174.744</v>
      </c>
      <c r="Z19" s="142">
        <v>0.56000000000000005</v>
      </c>
      <c r="AA19" s="141">
        <v>260</v>
      </c>
      <c r="AB19" s="141">
        <v>170.55</v>
      </c>
      <c r="AC19" s="142">
        <v>0.56999999999999995</v>
      </c>
      <c r="AD19" s="141">
        <v>200</v>
      </c>
      <c r="AE19" s="141">
        <v>177.446</v>
      </c>
      <c r="AF19" s="142">
        <v>1.518</v>
      </c>
      <c r="AG19" s="141">
        <v>140</v>
      </c>
      <c r="AH19" s="89">
        <v>105</v>
      </c>
      <c r="AI19" s="108">
        <v>105.2</v>
      </c>
      <c r="AJ19" s="91">
        <v>114</v>
      </c>
      <c r="AK19" s="90">
        <v>115.4</v>
      </c>
      <c r="AL19" s="89">
        <v>129</v>
      </c>
      <c r="AM19" s="108">
        <v>131.4</v>
      </c>
      <c r="AN19" s="91">
        <v>144</v>
      </c>
      <c r="AO19" s="90">
        <v>148.4</v>
      </c>
      <c r="AP19" s="89">
        <v>162</v>
      </c>
      <c r="AQ19" s="108">
        <v>163.9</v>
      </c>
      <c r="AR19" s="91">
        <v>173</v>
      </c>
      <c r="AS19" s="98">
        <v>174.7</v>
      </c>
      <c r="AT19" s="82" t="str">
        <f t="shared" si="0"/>
        <v>D</v>
      </c>
      <c r="AU19" s="95"/>
      <c r="AV19" s="94" t="str">
        <f t="shared" si="1"/>
        <v>2025-03-15-7호방-316LDS1-N33842</v>
      </c>
    </row>
    <row r="20" spans="1:48" s="1" customFormat="1" x14ac:dyDescent="0.25">
      <c r="A20" s="6">
        <v>73</v>
      </c>
      <c r="B20" s="3" t="s">
        <v>80</v>
      </c>
      <c r="C20" s="3" t="s">
        <v>144</v>
      </c>
      <c r="D20" s="3">
        <v>1</v>
      </c>
      <c r="E20" s="3" t="s">
        <v>185</v>
      </c>
      <c r="F20" s="3" t="s">
        <v>41</v>
      </c>
      <c r="G20" s="3">
        <v>267</v>
      </c>
      <c r="H20" s="3" t="s">
        <v>80</v>
      </c>
      <c r="I20" s="3" t="s">
        <v>265</v>
      </c>
      <c r="J20" s="3" t="s">
        <v>80</v>
      </c>
      <c r="K20" s="3" t="s">
        <v>266</v>
      </c>
      <c r="L20" s="7" t="s">
        <v>53</v>
      </c>
      <c r="M20" s="6" t="str">
        <f t="shared" si="2"/>
        <v>D4-15일</v>
      </c>
      <c r="N20" s="3"/>
      <c r="O20" s="7" t="s">
        <v>304</v>
      </c>
      <c r="P20" s="143">
        <v>67.474400000000003</v>
      </c>
      <c r="Q20" s="144">
        <v>2.0195400000000001</v>
      </c>
      <c r="R20" s="143">
        <v>415</v>
      </c>
      <c r="S20" s="143">
        <v>116.40300000000001</v>
      </c>
      <c r="T20" s="144">
        <v>1.3</v>
      </c>
      <c r="U20" s="143">
        <v>370</v>
      </c>
      <c r="V20" s="143">
        <v>148.46199999999999</v>
      </c>
      <c r="W20" s="144">
        <v>0.54400000000000004</v>
      </c>
      <c r="X20" s="143">
        <v>320</v>
      </c>
      <c r="Y20" s="143">
        <v>184.995</v>
      </c>
      <c r="Z20" s="144">
        <v>0.56000000000000005</v>
      </c>
      <c r="AA20" s="143">
        <v>260</v>
      </c>
      <c r="AB20" s="143">
        <v>184.529</v>
      </c>
      <c r="AC20" s="144">
        <v>0.56000000000000005</v>
      </c>
      <c r="AD20" s="143">
        <v>200</v>
      </c>
      <c r="AE20" s="143">
        <v>206.15100000000001</v>
      </c>
      <c r="AF20" s="144">
        <v>1.518</v>
      </c>
      <c r="AG20" s="143">
        <v>140</v>
      </c>
      <c r="AH20" s="29">
        <v>235</v>
      </c>
      <c r="AI20" s="110">
        <v>254</v>
      </c>
      <c r="AJ20" s="31">
        <v>262</v>
      </c>
      <c r="AK20" s="54">
        <v>263.89999999999998</v>
      </c>
      <c r="AL20" s="33">
        <v>264</v>
      </c>
      <c r="AM20" s="111">
        <v>278.5</v>
      </c>
      <c r="AN20" s="114">
        <v>317</v>
      </c>
      <c r="AO20" s="115">
        <v>318.3</v>
      </c>
      <c r="AP20" s="116">
        <v>343</v>
      </c>
      <c r="AQ20" s="117">
        <v>343.4</v>
      </c>
      <c r="AR20" s="31">
        <v>353</v>
      </c>
      <c r="AS20" s="112">
        <v>353.4</v>
      </c>
      <c r="AT20" s="1" t="str">
        <f t="shared" si="0"/>
        <v>D</v>
      </c>
      <c r="AU20" s="62"/>
      <c r="AV20" s="113" t="str">
        <f t="shared" si="1"/>
        <v>2025-03-15-7호방-316LDS1-N33842</v>
      </c>
    </row>
    <row r="21" spans="1:48" s="92" customFormat="1" ht="18" thickBot="1" x14ac:dyDescent="0.3">
      <c r="A21" s="99">
        <v>74</v>
      </c>
      <c r="B21" s="100" t="s">
        <v>80</v>
      </c>
      <c r="C21" s="100" t="s">
        <v>145</v>
      </c>
      <c r="D21" s="100">
        <v>1</v>
      </c>
      <c r="E21" s="100" t="s">
        <v>185</v>
      </c>
      <c r="F21" s="101" t="s">
        <v>41</v>
      </c>
      <c r="G21" s="100">
        <v>267</v>
      </c>
      <c r="H21" s="100" t="s">
        <v>80</v>
      </c>
      <c r="I21" s="100" t="s">
        <v>267</v>
      </c>
      <c r="J21" s="100" t="s">
        <v>80</v>
      </c>
      <c r="K21" s="100" t="s">
        <v>268</v>
      </c>
      <c r="L21" s="102" t="s">
        <v>54</v>
      </c>
      <c r="M21" s="99" t="str">
        <f t="shared" si="2"/>
        <v>D5-15일</v>
      </c>
      <c r="N21" s="100"/>
      <c r="O21" s="102" t="s">
        <v>304</v>
      </c>
      <c r="P21" s="145">
        <v>46.505099999999999</v>
      </c>
      <c r="Q21" s="146">
        <v>1.3</v>
      </c>
      <c r="R21" s="145">
        <v>415</v>
      </c>
      <c r="S21" s="145">
        <v>103.169</v>
      </c>
      <c r="T21" s="146">
        <v>1.3</v>
      </c>
      <c r="U21" s="145">
        <v>370</v>
      </c>
      <c r="V21" s="145">
        <v>121.901</v>
      </c>
      <c r="W21" s="146">
        <v>0.54400000000000004</v>
      </c>
      <c r="X21" s="145">
        <v>320</v>
      </c>
      <c r="Y21" s="145">
        <v>168.59299999999999</v>
      </c>
      <c r="Z21" s="146">
        <v>0.56000000000000005</v>
      </c>
      <c r="AA21" s="145">
        <v>260</v>
      </c>
      <c r="AB21" s="145">
        <v>162.62799999999999</v>
      </c>
      <c r="AC21" s="146">
        <v>0.56999999999999995</v>
      </c>
      <c r="AD21" s="145">
        <v>200</v>
      </c>
      <c r="AE21" s="145">
        <v>172.88</v>
      </c>
      <c r="AF21" s="146">
        <v>1.518</v>
      </c>
      <c r="AG21" s="145">
        <v>140</v>
      </c>
      <c r="AH21" s="105">
        <v>80</v>
      </c>
      <c r="AI21" s="109">
        <v>80.8</v>
      </c>
      <c r="AJ21" s="103">
        <v>89</v>
      </c>
      <c r="AK21" s="104">
        <v>90.5</v>
      </c>
      <c r="AL21" s="105">
        <v>103</v>
      </c>
      <c r="AM21" s="109">
        <v>105.3</v>
      </c>
      <c r="AN21" s="103">
        <v>120</v>
      </c>
      <c r="AO21" s="104">
        <v>121.2</v>
      </c>
      <c r="AP21" s="105">
        <v>135</v>
      </c>
      <c r="AQ21" s="109">
        <v>136.69999999999999</v>
      </c>
      <c r="AR21" s="103">
        <v>146</v>
      </c>
      <c r="AS21" s="106">
        <v>146.9</v>
      </c>
      <c r="AT21" s="82" t="str">
        <f t="shared" si="0"/>
        <v>D</v>
      </c>
      <c r="AU21" s="95"/>
      <c r="AV21" s="94" t="str">
        <f t="shared" si="1"/>
        <v>2025-03-15-7호방-316LDS1-N33842</v>
      </c>
    </row>
    <row r="22" spans="1:48" s="92" customFormat="1" x14ac:dyDescent="0.4"/>
    <row r="23" spans="1:48" s="92" customFormat="1" x14ac:dyDescent="0.4"/>
    <row r="24" spans="1:48" s="92" customFormat="1" x14ac:dyDescent="0.4"/>
    <row r="25" spans="1:48" s="92" customFormat="1" x14ac:dyDescent="0.4"/>
    <row r="26" spans="1:48" s="92" customFormat="1" x14ac:dyDescent="0.4"/>
    <row r="27" spans="1:48" s="92" customFormat="1" x14ac:dyDescent="0.4"/>
    <row r="28" spans="1:48" s="92" customFormat="1" x14ac:dyDescent="0.4"/>
    <row r="50" spans="22:34" x14ac:dyDescent="0.4">
      <c r="V50" s="61" t="s">
        <v>346</v>
      </c>
    </row>
    <row r="51" spans="22:34" x14ac:dyDescent="0.4">
      <c r="V51" s="61" t="s">
        <v>347</v>
      </c>
      <c r="W51" s="61" t="s">
        <v>348</v>
      </c>
    </row>
    <row r="58" spans="22:34" x14ac:dyDescent="0.4">
      <c r="AH58" s="61">
        <v>400</v>
      </c>
    </row>
    <row r="71" spans="34:35" x14ac:dyDescent="0.4">
      <c r="AH71" s="61">
        <v>1100</v>
      </c>
      <c r="AI71" s="42">
        <f>+AH71*3000000</f>
        <v>3300000000</v>
      </c>
    </row>
  </sheetData>
  <phoneticPr fontId="2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DTE24089</dc:creator>
  <cp:lastModifiedBy>CTE25-034</cp:lastModifiedBy>
  <dcterms:created xsi:type="dcterms:W3CDTF">2025-06-09T11:22:34Z</dcterms:created>
  <dcterms:modified xsi:type="dcterms:W3CDTF">2025-07-02T10:13:18Z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3</vt:i4>
  </property>
</Properties>
</file>